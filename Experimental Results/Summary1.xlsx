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21471\Desktop\QMAX2,3SAT\"/>
    </mc:Choice>
  </mc:AlternateContent>
  <xr:revisionPtr revIDLastSave="0" documentId="13_ncr:1_{773ED592-E690-4FCE-976A-E5C0CF9AC6D4}" xr6:coauthVersionLast="47" xr6:coauthVersionMax="47" xr10:uidLastSave="{00000000-0000-0000-0000-000000000000}"/>
  <bookViews>
    <workbookView xWindow="-66" yWindow="240" windowWidth="12030" windowHeight="11964" tabRatio="912" firstSheet="41" activeTab="42" xr2:uid="{00000000-000D-0000-FFFF-FFFF00000000}"/>
  </bookViews>
  <sheets>
    <sheet name="Case-1" sheetId="2" r:id="rId1"/>
    <sheet name="Case-2" sheetId="3" r:id="rId2"/>
    <sheet name="Case-3" sheetId="4" r:id="rId3"/>
    <sheet name="Case-4" sheetId="5" r:id="rId4"/>
    <sheet name="Case-5" sheetId="8" r:id="rId5"/>
    <sheet name="Case-6" sheetId="9" r:id="rId6"/>
    <sheet name="MAE_Learn" sheetId="1" r:id="rId7"/>
    <sheet name="RMSE_Learn" sheetId="6" r:id="rId8"/>
    <sheet name="MAPE_Learn" sheetId="10" r:id="rId9"/>
    <sheet name="STD_{MAE_Learn}" sheetId="11" r:id="rId10"/>
    <sheet name="STD_{RMSE_Learn}" sheetId="12" r:id="rId11"/>
    <sheet name="STD_{MAPE_Learn}" sheetId="13" r:id="rId12"/>
    <sheet name="Z_SAT" sheetId="14" r:id="rId13"/>
    <sheet name="STD_{Z_SAT}" sheetId="15" r:id="rId14"/>
    <sheet name="MAE_SAT" sheetId="16" r:id="rId15"/>
    <sheet name="STD_{MAE_SAT}" sheetId="17" r:id="rId16"/>
    <sheet name="F_G" sheetId="18" r:id="rId17"/>
    <sheet name=" overline{R^{o}_{s}}" sheetId="19" r:id="rId18"/>
    <sheet name="np.mean(Ratio_Solved_Initial)" sheetId="20" r:id="rId19"/>
    <sheet name="np.mean(Ratio_Solved_Initial_Sa" sheetId="21" r:id="rId20"/>
    <sheet name="np.mean(Ratio_Solved_Red)" sheetId="22" r:id="rId21"/>
    <sheet name="np.mean(Ratio_Solved_Red_Satisf" sheetId="23" r:id="rId22"/>
    <sheet name="np.mean(Ratio_Solved_Tse)" sheetId="24" r:id="rId23"/>
    <sheet name="np.mean(Ratio_Solved_Tse_Satisf" sheetId="25" r:id="rId24"/>
    <sheet name="np.mean(Ratio_Solved_After)" sheetId="26" r:id="rId25"/>
    <sheet name="np.mean(Ratio_Solved_After_Sati" sheetId="27" r:id="rId26"/>
    <sheet name="MAE_Energy" sheetId="28" r:id="rId27"/>
    <sheet name="Z_G" sheetId="29" r:id="rId28"/>
    <sheet name="L_G" sheetId="30" r:id="rId29"/>
    <sheet name="np.mean(Similarity_list_J_Initi" sheetId="31" r:id="rId30"/>
    <sheet name="np.std(Similarity_list_J_Initia" sheetId="32" r:id="rId31"/>
    <sheet name="np.mean(Similarity_list_H_Initi" sheetId="33" r:id="rId32"/>
    <sheet name="np.std(Similarity_list_H_Initia" sheetId="34" r:id="rId33"/>
    <sheet name="np.mean(Similarity_list_J_Red)" sheetId="35" r:id="rId34"/>
    <sheet name="np.std(Similarity_list_J_Red)" sheetId="36" r:id="rId35"/>
    <sheet name="np.mean(Similarity_list_H_Red)" sheetId="37" r:id="rId36"/>
    <sheet name="np.std(Similarity_list_H_Red)" sheetId="38" r:id="rId37"/>
    <sheet name="np.mean(Similarity_list_J_Tse)" sheetId="39" r:id="rId38"/>
    <sheet name="np.std(Similarity_list_J_Tse)" sheetId="40" r:id="rId39"/>
    <sheet name="np.mean(Similarity_list_H_Tse)" sheetId="41" r:id="rId40"/>
    <sheet name="np.std(Similarity_list_H_Tse)" sheetId="42" r:id="rId41"/>
    <sheet name="np.mean(Similarity_list_J_After" sheetId="43" r:id="rId42"/>
    <sheet name="np.std(Similarity_list_J_After)" sheetId="44" r:id="rId43"/>
    <sheet name="np.mean(Similarity_list_H_After" sheetId="45" r:id="rId44"/>
    <sheet name="np.std(Similarity_list_H_After)" sheetId="46" r:id="rId45"/>
  </sheets>
  <definedNames>
    <definedName name="ExternalData_1" localSheetId="1" hidden="1">'Case-2'!$A$1:$AN$21</definedName>
    <definedName name="ExternalData_1" localSheetId="2" hidden="1">'Case-3'!$A$1:$AN$21</definedName>
    <definedName name="ExternalData_1" localSheetId="3" hidden="1">'Case-4'!$A$1:$AN$21</definedName>
    <definedName name="ExternalData_1" localSheetId="4" hidden="1">'Case-5'!$A$1:$AN$21</definedName>
    <definedName name="ExternalData_1" localSheetId="5" hidden="1">'Case-6'!$A$1:$AN$21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4" l="1"/>
  <c r="D22" i="44"/>
  <c r="E22" i="44"/>
  <c r="F22" i="44"/>
  <c r="G22" i="44"/>
  <c r="B22" i="44"/>
  <c r="C22" i="43"/>
  <c r="D22" i="43"/>
  <c r="E22" i="43"/>
  <c r="F22" i="43"/>
  <c r="G22" i="43"/>
  <c r="B22" i="43"/>
  <c r="C22" i="40"/>
  <c r="D22" i="40"/>
  <c r="E22" i="40"/>
  <c r="F22" i="40"/>
  <c r="G22" i="40"/>
  <c r="C22" i="39"/>
  <c r="D22" i="39"/>
  <c r="E22" i="39"/>
  <c r="F22" i="39"/>
  <c r="G22" i="39"/>
  <c r="B22" i="40"/>
  <c r="B22" i="39"/>
  <c r="C22" i="36"/>
  <c r="D22" i="36"/>
  <c r="E22" i="36"/>
  <c r="F22" i="36"/>
  <c r="G22" i="36"/>
  <c r="B22" i="36"/>
  <c r="C22" i="35"/>
  <c r="D22" i="35"/>
  <c r="E22" i="35"/>
  <c r="F22" i="35"/>
  <c r="G22" i="35"/>
  <c r="B22" i="35"/>
  <c r="C22" i="33"/>
  <c r="D22" i="33"/>
  <c r="E22" i="33"/>
  <c r="F22" i="33"/>
  <c r="G22" i="33"/>
  <c r="B22" i="33"/>
  <c r="C22" i="32"/>
  <c r="D22" i="32"/>
  <c r="E22" i="32"/>
  <c r="F22" i="32"/>
  <c r="G22" i="32"/>
  <c r="B22" i="32"/>
  <c r="C22" i="31"/>
  <c r="D22" i="31"/>
  <c r="E22" i="31"/>
  <c r="F22" i="31"/>
  <c r="G22" i="31"/>
  <c r="B22" i="31"/>
  <c r="B22" i="27"/>
  <c r="C22" i="27"/>
  <c r="D22" i="27"/>
  <c r="E22" i="27"/>
  <c r="F22" i="27"/>
  <c r="G22" i="27"/>
  <c r="C22" i="26"/>
  <c r="D22" i="26"/>
  <c r="E22" i="26"/>
  <c r="F22" i="26"/>
  <c r="G22" i="26"/>
  <c r="B22" i="26"/>
  <c r="C22" i="25"/>
  <c r="D22" i="25"/>
  <c r="E22" i="25"/>
  <c r="F22" i="25"/>
  <c r="G22" i="25"/>
  <c r="B22" i="25"/>
  <c r="C22" i="24"/>
  <c r="D22" i="24"/>
  <c r="E22" i="24"/>
  <c r="F22" i="24"/>
  <c r="G22" i="24"/>
  <c r="B22" i="24"/>
  <c r="C22" i="23"/>
  <c r="D22" i="23"/>
  <c r="E22" i="23"/>
  <c r="F22" i="23"/>
  <c r="G22" i="23"/>
  <c r="B22" i="23"/>
  <c r="C22" i="22"/>
  <c r="D22" i="22"/>
  <c r="E22" i="22"/>
  <c r="F22" i="22"/>
  <c r="G22" i="22"/>
  <c r="B22" i="22"/>
  <c r="C22" i="21"/>
  <c r="D22" i="21"/>
  <c r="E22" i="21"/>
  <c r="F22" i="21"/>
  <c r="G22" i="21"/>
  <c r="B22" i="21"/>
  <c r="C22" i="20"/>
  <c r="D22" i="20"/>
  <c r="E22" i="20"/>
  <c r="F22" i="20"/>
  <c r="G22" i="20"/>
  <c r="B22" i="20"/>
  <c r="C22" i="13"/>
  <c r="D22" i="13"/>
  <c r="E22" i="13"/>
  <c r="F22" i="13"/>
  <c r="G22" i="13"/>
  <c r="B22" i="13"/>
  <c r="C22" i="12"/>
  <c r="D22" i="12"/>
  <c r="E22" i="12"/>
  <c r="F22" i="12"/>
  <c r="G22" i="12"/>
  <c r="B22" i="12"/>
  <c r="C22" i="11"/>
  <c r="D22" i="11"/>
  <c r="E22" i="11"/>
  <c r="F22" i="11"/>
  <c r="G22" i="11"/>
  <c r="C22" i="10"/>
  <c r="D22" i="10"/>
  <c r="E22" i="10"/>
  <c r="F22" i="10"/>
  <c r="G22" i="10"/>
  <c r="B22" i="10"/>
  <c r="C22" i="6"/>
  <c r="D22" i="6"/>
  <c r="E22" i="6"/>
  <c r="F22" i="6"/>
  <c r="G22" i="6"/>
  <c r="B22" i="6"/>
  <c r="C22" i="1"/>
  <c r="D22" i="1"/>
  <c r="E22" i="1"/>
  <c r="F22" i="1"/>
  <c r="G22" i="1"/>
  <c r="B22" i="1"/>
  <c r="B2" i="1"/>
  <c r="B3" i="46"/>
  <c r="C3" i="46"/>
  <c r="D3" i="46"/>
  <c r="E3" i="46"/>
  <c r="F3" i="46"/>
  <c r="G3" i="46"/>
  <c r="B4" i="46"/>
  <c r="C4" i="46"/>
  <c r="D4" i="46"/>
  <c r="E4" i="46"/>
  <c r="F4" i="46"/>
  <c r="G4" i="46"/>
  <c r="B5" i="46"/>
  <c r="C5" i="46"/>
  <c r="D5" i="46"/>
  <c r="E5" i="46"/>
  <c r="F5" i="46"/>
  <c r="G5" i="46"/>
  <c r="B6" i="46"/>
  <c r="C6" i="46"/>
  <c r="D6" i="46"/>
  <c r="E6" i="46"/>
  <c r="F6" i="46"/>
  <c r="G6" i="46"/>
  <c r="B7" i="46"/>
  <c r="C7" i="46"/>
  <c r="D7" i="46"/>
  <c r="E7" i="46"/>
  <c r="F7" i="46"/>
  <c r="G7" i="46"/>
  <c r="B8" i="46"/>
  <c r="C8" i="46"/>
  <c r="D8" i="46"/>
  <c r="E8" i="46"/>
  <c r="F8" i="46"/>
  <c r="G8" i="46"/>
  <c r="B9" i="46"/>
  <c r="C9" i="46"/>
  <c r="D9" i="46"/>
  <c r="E9" i="46"/>
  <c r="F9" i="46"/>
  <c r="G9" i="46"/>
  <c r="B10" i="46"/>
  <c r="C10" i="46"/>
  <c r="D10" i="46"/>
  <c r="E10" i="46"/>
  <c r="F10" i="46"/>
  <c r="G10" i="46"/>
  <c r="B11" i="46"/>
  <c r="C11" i="46"/>
  <c r="D11" i="46"/>
  <c r="E11" i="46"/>
  <c r="F11" i="46"/>
  <c r="G11" i="46"/>
  <c r="B12" i="46"/>
  <c r="C12" i="46"/>
  <c r="D12" i="46"/>
  <c r="E12" i="46"/>
  <c r="F12" i="46"/>
  <c r="G12" i="46"/>
  <c r="B13" i="46"/>
  <c r="C13" i="46"/>
  <c r="D13" i="46"/>
  <c r="E13" i="46"/>
  <c r="F13" i="46"/>
  <c r="G13" i="46"/>
  <c r="B14" i="46"/>
  <c r="C14" i="46"/>
  <c r="D14" i="46"/>
  <c r="E14" i="46"/>
  <c r="F14" i="46"/>
  <c r="G14" i="46"/>
  <c r="B15" i="46"/>
  <c r="C15" i="46"/>
  <c r="D15" i="46"/>
  <c r="E15" i="46"/>
  <c r="F15" i="46"/>
  <c r="G15" i="46"/>
  <c r="B16" i="46"/>
  <c r="C16" i="46"/>
  <c r="D16" i="46"/>
  <c r="E16" i="46"/>
  <c r="F16" i="46"/>
  <c r="G16" i="46"/>
  <c r="B17" i="46"/>
  <c r="C17" i="46"/>
  <c r="D17" i="46"/>
  <c r="E17" i="46"/>
  <c r="F17" i="46"/>
  <c r="G17" i="46"/>
  <c r="B18" i="46"/>
  <c r="C18" i="46"/>
  <c r="D18" i="46"/>
  <c r="E18" i="46"/>
  <c r="F18" i="46"/>
  <c r="G18" i="46"/>
  <c r="B19" i="46"/>
  <c r="C19" i="46"/>
  <c r="D19" i="46"/>
  <c r="E19" i="46"/>
  <c r="F19" i="46"/>
  <c r="G19" i="46"/>
  <c r="B20" i="46"/>
  <c r="C20" i="46"/>
  <c r="D20" i="46"/>
  <c r="E20" i="46"/>
  <c r="F20" i="46"/>
  <c r="G20" i="46"/>
  <c r="B21" i="46"/>
  <c r="C21" i="46"/>
  <c r="D21" i="46"/>
  <c r="E21" i="46"/>
  <c r="F21" i="46"/>
  <c r="G21" i="46"/>
  <c r="G2" i="46"/>
  <c r="F2" i="46"/>
  <c r="E2" i="46"/>
  <c r="D2" i="46"/>
  <c r="C2" i="46"/>
  <c r="B2" i="46"/>
  <c r="B3" i="45"/>
  <c r="C3" i="45"/>
  <c r="D3" i="45"/>
  <c r="E3" i="45"/>
  <c r="F3" i="45"/>
  <c r="G3" i="45"/>
  <c r="B4" i="45"/>
  <c r="C4" i="45"/>
  <c r="D4" i="45"/>
  <c r="E4" i="45"/>
  <c r="F4" i="45"/>
  <c r="G4" i="45"/>
  <c r="B5" i="45"/>
  <c r="C5" i="45"/>
  <c r="D5" i="45"/>
  <c r="E5" i="45"/>
  <c r="F5" i="45"/>
  <c r="G5" i="45"/>
  <c r="B6" i="45"/>
  <c r="C6" i="45"/>
  <c r="D6" i="45"/>
  <c r="E6" i="45"/>
  <c r="F6" i="45"/>
  <c r="G6" i="45"/>
  <c r="B7" i="45"/>
  <c r="C7" i="45"/>
  <c r="D7" i="45"/>
  <c r="E7" i="45"/>
  <c r="F7" i="45"/>
  <c r="G7" i="45"/>
  <c r="B8" i="45"/>
  <c r="C8" i="45"/>
  <c r="D8" i="45"/>
  <c r="E8" i="45"/>
  <c r="F8" i="45"/>
  <c r="G8" i="45"/>
  <c r="B9" i="45"/>
  <c r="C9" i="45"/>
  <c r="D9" i="45"/>
  <c r="E9" i="45"/>
  <c r="F9" i="45"/>
  <c r="G9" i="45"/>
  <c r="B10" i="45"/>
  <c r="C10" i="45"/>
  <c r="D10" i="45"/>
  <c r="E10" i="45"/>
  <c r="F10" i="45"/>
  <c r="G10" i="45"/>
  <c r="B11" i="45"/>
  <c r="C11" i="45"/>
  <c r="D11" i="45"/>
  <c r="E11" i="45"/>
  <c r="F11" i="45"/>
  <c r="G11" i="45"/>
  <c r="B12" i="45"/>
  <c r="C12" i="45"/>
  <c r="D12" i="45"/>
  <c r="E12" i="45"/>
  <c r="F12" i="45"/>
  <c r="G12" i="45"/>
  <c r="B13" i="45"/>
  <c r="C13" i="45"/>
  <c r="D13" i="45"/>
  <c r="E13" i="45"/>
  <c r="F13" i="45"/>
  <c r="G13" i="45"/>
  <c r="B14" i="45"/>
  <c r="C14" i="45"/>
  <c r="D14" i="45"/>
  <c r="E14" i="45"/>
  <c r="F14" i="45"/>
  <c r="G14" i="45"/>
  <c r="B15" i="45"/>
  <c r="C15" i="45"/>
  <c r="D15" i="45"/>
  <c r="E15" i="45"/>
  <c r="F15" i="45"/>
  <c r="G15" i="45"/>
  <c r="B16" i="45"/>
  <c r="C16" i="45"/>
  <c r="D16" i="45"/>
  <c r="E16" i="45"/>
  <c r="F16" i="45"/>
  <c r="G16" i="45"/>
  <c r="B17" i="45"/>
  <c r="C17" i="45"/>
  <c r="D17" i="45"/>
  <c r="E17" i="45"/>
  <c r="F17" i="45"/>
  <c r="G17" i="45"/>
  <c r="B18" i="45"/>
  <c r="C18" i="45"/>
  <c r="D18" i="45"/>
  <c r="E18" i="45"/>
  <c r="F18" i="45"/>
  <c r="G18" i="45"/>
  <c r="B19" i="45"/>
  <c r="C19" i="45"/>
  <c r="D19" i="45"/>
  <c r="E19" i="45"/>
  <c r="F19" i="45"/>
  <c r="G19" i="45"/>
  <c r="B20" i="45"/>
  <c r="C20" i="45"/>
  <c r="D20" i="45"/>
  <c r="E20" i="45"/>
  <c r="F20" i="45"/>
  <c r="G20" i="45"/>
  <c r="B21" i="45"/>
  <c r="C21" i="45"/>
  <c r="D21" i="45"/>
  <c r="E21" i="45"/>
  <c r="F21" i="45"/>
  <c r="G21" i="45"/>
  <c r="G2" i="45"/>
  <c r="F2" i="45"/>
  <c r="E2" i="45"/>
  <c r="D2" i="45"/>
  <c r="C2" i="45"/>
  <c r="B2" i="45"/>
  <c r="B3" i="44"/>
  <c r="C3" i="44"/>
  <c r="D3" i="44"/>
  <c r="E3" i="44"/>
  <c r="F3" i="44"/>
  <c r="G3" i="44"/>
  <c r="B4" i="44"/>
  <c r="C4" i="44"/>
  <c r="D4" i="44"/>
  <c r="E4" i="44"/>
  <c r="F4" i="44"/>
  <c r="G4" i="44"/>
  <c r="B5" i="44"/>
  <c r="C5" i="44"/>
  <c r="D5" i="44"/>
  <c r="E5" i="44"/>
  <c r="F5" i="44"/>
  <c r="G5" i="44"/>
  <c r="B6" i="44"/>
  <c r="C6" i="44"/>
  <c r="D6" i="44"/>
  <c r="E6" i="44"/>
  <c r="F6" i="44"/>
  <c r="G6" i="44"/>
  <c r="B7" i="44"/>
  <c r="C7" i="44"/>
  <c r="D7" i="44"/>
  <c r="E7" i="44"/>
  <c r="F7" i="44"/>
  <c r="G7" i="44"/>
  <c r="B8" i="44"/>
  <c r="C8" i="44"/>
  <c r="D8" i="44"/>
  <c r="E8" i="44"/>
  <c r="F8" i="44"/>
  <c r="G8" i="44"/>
  <c r="B9" i="44"/>
  <c r="C9" i="44"/>
  <c r="D9" i="44"/>
  <c r="E9" i="44"/>
  <c r="F9" i="44"/>
  <c r="G9" i="44"/>
  <c r="B10" i="44"/>
  <c r="C10" i="44"/>
  <c r="D10" i="44"/>
  <c r="E10" i="44"/>
  <c r="F10" i="44"/>
  <c r="G10" i="44"/>
  <c r="B11" i="44"/>
  <c r="C11" i="44"/>
  <c r="D11" i="44"/>
  <c r="E11" i="44"/>
  <c r="F11" i="44"/>
  <c r="G11" i="44"/>
  <c r="B12" i="44"/>
  <c r="C12" i="44"/>
  <c r="D12" i="44"/>
  <c r="E12" i="44"/>
  <c r="F12" i="44"/>
  <c r="G12" i="44"/>
  <c r="B13" i="44"/>
  <c r="C13" i="44"/>
  <c r="D13" i="44"/>
  <c r="E13" i="44"/>
  <c r="F13" i="44"/>
  <c r="G13" i="44"/>
  <c r="B14" i="44"/>
  <c r="C14" i="44"/>
  <c r="D14" i="44"/>
  <c r="E14" i="44"/>
  <c r="F14" i="44"/>
  <c r="G14" i="44"/>
  <c r="B15" i="44"/>
  <c r="C15" i="44"/>
  <c r="D15" i="44"/>
  <c r="E15" i="44"/>
  <c r="F15" i="44"/>
  <c r="G15" i="44"/>
  <c r="B16" i="44"/>
  <c r="C16" i="44"/>
  <c r="D16" i="44"/>
  <c r="E16" i="44"/>
  <c r="F16" i="44"/>
  <c r="G16" i="44"/>
  <c r="B17" i="44"/>
  <c r="C17" i="44"/>
  <c r="D17" i="44"/>
  <c r="E17" i="44"/>
  <c r="F17" i="44"/>
  <c r="G17" i="44"/>
  <c r="B18" i="44"/>
  <c r="C18" i="44"/>
  <c r="D18" i="44"/>
  <c r="E18" i="44"/>
  <c r="F18" i="44"/>
  <c r="G18" i="44"/>
  <c r="B19" i="44"/>
  <c r="C19" i="44"/>
  <c r="D19" i="44"/>
  <c r="E19" i="44"/>
  <c r="F19" i="44"/>
  <c r="G19" i="44"/>
  <c r="B20" i="44"/>
  <c r="C20" i="44"/>
  <c r="D20" i="44"/>
  <c r="E20" i="44"/>
  <c r="F20" i="44"/>
  <c r="G20" i="44"/>
  <c r="B21" i="44"/>
  <c r="C21" i="44"/>
  <c r="D21" i="44"/>
  <c r="E21" i="44"/>
  <c r="F21" i="44"/>
  <c r="G21" i="44"/>
  <c r="G2" i="44"/>
  <c r="F2" i="44"/>
  <c r="E2" i="44"/>
  <c r="D2" i="44"/>
  <c r="C2" i="44"/>
  <c r="B2" i="44"/>
  <c r="B3" i="43"/>
  <c r="C3" i="43"/>
  <c r="D3" i="43"/>
  <c r="E3" i="43"/>
  <c r="F3" i="43"/>
  <c r="G3" i="43"/>
  <c r="B4" i="43"/>
  <c r="C4" i="43"/>
  <c r="D4" i="43"/>
  <c r="E4" i="43"/>
  <c r="F4" i="43"/>
  <c r="G4" i="43"/>
  <c r="B5" i="43"/>
  <c r="C5" i="43"/>
  <c r="D5" i="43"/>
  <c r="E5" i="43"/>
  <c r="F5" i="43"/>
  <c r="G5" i="43"/>
  <c r="B6" i="43"/>
  <c r="C6" i="43"/>
  <c r="D6" i="43"/>
  <c r="E6" i="43"/>
  <c r="F6" i="43"/>
  <c r="G6" i="43"/>
  <c r="B7" i="43"/>
  <c r="C7" i="43"/>
  <c r="D7" i="43"/>
  <c r="E7" i="43"/>
  <c r="F7" i="43"/>
  <c r="G7" i="43"/>
  <c r="B8" i="43"/>
  <c r="C8" i="43"/>
  <c r="D8" i="43"/>
  <c r="E8" i="43"/>
  <c r="F8" i="43"/>
  <c r="G8" i="43"/>
  <c r="B9" i="43"/>
  <c r="C9" i="43"/>
  <c r="D9" i="43"/>
  <c r="E9" i="43"/>
  <c r="F9" i="43"/>
  <c r="G9" i="43"/>
  <c r="B10" i="43"/>
  <c r="C10" i="43"/>
  <c r="D10" i="43"/>
  <c r="E10" i="43"/>
  <c r="F10" i="43"/>
  <c r="G10" i="43"/>
  <c r="B11" i="43"/>
  <c r="C11" i="43"/>
  <c r="D11" i="43"/>
  <c r="E11" i="43"/>
  <c r="F11" i="43"/>
  <c r="G11" i="43"/>
  <c r="B12" i="43"/>
  <c r="C12" i="43"/>
  <c r="D12" i="43"/>
  <c r="E12" i="43"/>
  <c r="F12" i="43"/>
  <c r="G12" i="43"/>
  <c r="B13" i="43"/>
  <c r="C13" i="43"/>
  <c r="D13" i="43"/>
  <c r="E13" i="43"/>
  <c r="F13" i="43"/>
  <c r="G13" i="43"/>
  <c r="B14" i="43"/>
  <c r="C14" i="43"/>
  <c r="D14" i="43"/>
  <c r="E14" i="43"/>
  <c r="F14" i="43"/>
  <c r="G14" i="43"/>
  <c r="B15" i="43"/>
  <c r="C15" i="43"/>
  <c r="D15" i="43"/>
  <c r="E15" i="43"/>
  <c r="F15" i="43"/>
  <c r="G15" i="43"/>
  <c r="B16" i="43"/>
  <c r="C16" i="43"/>
  <c r="D16" i="43"/>
  <c r="E16" i="43"/>
  <c r="F16" i="43"/>
  <c r="G16" i="43"/>
  <c r="B17" i="43"/>
  <c r="C17" i="43"/>
  <c r="D17" i="43"/>
  <c r="E17" i="43"/>
  <c r="F17" i="43"/>
  <c r="G17" i="43"/>
  <c r="B18" i="43"/>
  <c r="C18" i="43"/>
  <c r="D18" i="43"/>
  <c r="E18" i="43"/>
  <c r="F18" i="43"/>
  <c r="G18" i="43"/>
  <c r="B19" i="43"/>
  <c r="C19" i="43"/>
  <c r="D19" i="43"/>
  <c r="E19" i="43"/>
  <c r="F19" i="43"/>
  <c r="G19" i="43"/>
  <c r="B20" i="43"/>
  <c r="C20" i="43"/>
  <c r="D20" i="43"/>
  <c r="E20" i="43"/>
  <c r="F20" i="43"/>
  <c r="G20" i="43"/>
  <c r="B21" i="43"/>
  <c r="C21" i="43"/>
  <c r="D21" i="43"/>
  <c r="E21" i="43"/>
  <c r="F21" i="43"/>
  <c r="G21" i="43"/>
  <c r="G2" i="43"/>
  <c r="F2" i="43"/>
  <c r="E2" i="43"/>
  <c r="D2" i="43"/>
  <c r="C2" i="43"/>
  <c r="B2" i="43"/>
  <c r="B3" i="42"/>
  <c r="C3" i="42"/>
  <c r="D3" i="42"/>
  <c r="E3" i="42"/>
  <c r="F3" i="42"/>
  <c r="G3" i="42"/>
  <c r="B4" i="42"/>
  <c r="C4" i="42"/>
  <c r="D4" i="42"/>
  <c r="E4" i="42"/>
  <c r="F4" i="42"/>
  <c r="G4" i="42"/>
  <c r="B5" i="42"/>
  <c r="C5" i="42"/>
  <c r="D5" i="42"/>
  <c r="E5" i="42"/>
  <c r="F5" i="42"/>
  <c r="G5" i="42"/>
  <c r="B6" i="42"/>
  <c r="C6" i="42"/>
  <c r="D6" i="42"/>
  <c r="E6" i="42"/>
  <c r="F6" i="42"/>
  <c r="G6" i="42"/>
  <c r="B7" i="42"/>
  <c r="C7" i="42"/>
  <c r="D7" i="42"/>
  <c r="E7" i="42"/>
  <c r="F7" i="42"/>
  <c r="G7" i="42"/>
  <c r="B8" i="42"/>
  <c r="C8" i="42"/>
  <c r="D8" i="42"/>
  <c r="E8" i="42"/>
  <c r="F8" i="42"/>
  <c r="G8" i="42"/>
  <c r="B9" i="42"/>
  <c r="C9" i="42"/>
  <c r="D9" i="42"/>
  <c r="E9" i="42"/>
  <c r="F9" i="42"/>
  <c r="G9" i="42"/>
  <c r="B10" i="42"/>
  <c r="C10" i="42"/>
  <c r="D10" i="42"/>
  <c r="E10" i="42"/>
  <c r="F10" i="42"/>
  <c r="G10" i="42"/>
  <c r="B11" i="42"/>
  <c r="C11" i="42"/>
  <c r="D11" i="42"/>
  <c r="E11" i="42"/>
  <c r="F11" i="42"/>
  <c r="G11" i="42"/>
  <c r="B12" i="42"/>
  <c r="C12" i="42"/>
  <c r="D12" i="42"/>
  <c r="E12" i="42"/>
  <c r="F12" i="42"/>
  <c r="G12" i="42"/>
  <c r="B13" i="42"/>
  <c r="C13" i="42"/>
  <c r="D13" i="42"/>
  <c r="E13" i="42"/>
  <c r="F13" i="42"/>
  <c r="G13" i="42"/>
  <c r="B14" i="42"/>
  <c r="C14" i="42"/>
  <c r="D14" i="42"/>
  <c r="E14" i="42"/>
  <c r="F14" i="42"/>
  <c r="G14" i="42"/>
  <c r="B15" i="42"/>
  <c r="C15" i="42"/>
  <c r="D15" i="42"/>
  <c r="E15" i="42"/>
  <c r="F15" i="42"/>
  <c r="G15" i="42"/>
  <c r="B16" i="42"/>
  <c r="C16" i="42"/>
  <c r="D16" i="42"/>
  <c r="E16" i="42"/>
  <c r="F16" i="42"/>
  <c r="G16" i="42"/>
  <c r="B17" i="42"/>
  <c r="C17" i="42"/>
  <c r="D17" i="42"/>
  <c r="E17" i="42"/>
  <c r="F17" i="42"/>
  <c r="G17" i="42"/>
  <c r="B18" i="42"/>
  <c r="C18" i="42"/>
  <c r="D18" i="42"/>
  <c r="E18" i="42"/>
  <c r="F18" i="42"/>
  <c r="G18" i="42"/>
  <c r="B19" i="42"/>
  <c r="C19" i="42"/>
  <c r="D19" i="42"/>
  <c r="E19" i="42"/>
  <c r="F19" i="42"/>
  <c r="G19" i="42"/>
  <c r="B20" i="42"/>
  <c r="C20" i="42"/>
  <c r="D20" i="42"/>
  <c r="E20" i="42"/>
  <c r="F20" i="42"/>
  <c r="G20" i="42"/>
  <c r="B21" i="42"/>
  <c r="C21" i="42"/>
  <c r="D21" i="42"/>
  <c r="E21" i="42"/>
  <c r="F21" i="42"/>
  <c r="G21" i="42"/>
  <c r="G2" i="42"/>
  <c r="F2" i="42"/>
  <c r="E2" i="42"/>
  <c r="D2" i="42"/>
  <c r="C2" i="42"/>
  <c r="B2" i="42"/>
  <c r="B3" i="41"/>
  <c r="C3" i="41"/>
  <c r="D3" i="41"/>
  <c r="E3" i="41"/>
  <c r="F3" i="41"/>
  <c r="G3" i="41"/>
  <c r="B4" i="41"/>
  <c r="C4" i="41"/>
  <c r="D4" i="41"/>
  <c r="E4" i="41"/>
  <c r="F4" i="41"/>
  <c r="G4" i="41"/>
  <c r="B5" i="41"/>
  <c r="C5" i="41"/>
  <c r="D5" i="41"/>
  <c r="E5" i="41"/>
  <c r="F5" i="41"/>
  <c r="G5" i="41"/>
  <c r="B6" i="41"/>
  <c r="C6" i="41"/>
  <c r="D6" i="41"/>
  <c r="E6" i="41"/>
  <c r="F6" i="41"/>
  <c r="G6" i="41"/>
  <c r="B7" i="41"/>
  <c r="C7" i="41"/>
  <c r="D7" i="41"/>
  <c r="E7" i="41"/>
  <c r="F7" i="41"/>
  <c r="G7" i="41"/>
  <c r="B8" i="41"/>
  <c r="C8" i="41"/>
  <c r="D8" i="41"/>
  <c r="E8" i="41"/>
  <c r="F8" i="41"/>
  <c r="G8" i="41"/>
  <c r="B9" i="41"/>
  <c r="C9" i="41"/>
  <c r="D9" i="41"/>
  <c r="E9" i="41"/>
  <c r="F9" i="41"/>
  <c r="G9" i="41"/>
  <c r="B10" i="41"/>
  <c r="C10" i="41"/>
  <c r="D10" i="41"/>
  <c r="E10" i="41"/>
  <c r="F10" i="41"/>
  <c r="G10" i="41"/>
  <c r="B11" i="41"/>
  <c r="C11" i="41"/>
  <c r="D11" i="41"/>
  <c r="E11" i="41"/>
  <c r="F11" i="41"/>
  <c r="G11" i="41"/>
  <c r="B12" i="41"/>
  <c r="C12" i="41"/>
  <c r="D12" i="41"/>
  <c r="E12" i="41"/>
  <c r="F12" i="41"/>
  <c r="G12" i="41"/>
  <c r="B13" i="41"/>
  <c r="C13" i="41"/>
  <c r="D13" i="41"/>
  <c r="E13" i="41"/>
  <c r="F13" i="41"/>
  <c r="G13" i="41"/>
  <c r="B14" i="41"/>
  <c r="C14" i="41"/>
  <c r="D14" i="41"/>
  <c r="E14" i="41"/>
  <c r="F14" i="41"/>
  <c r="G14" i="41"/>
  <c r="B15" i="41"/>
  <c r="C15" i="41"/>
  <c r="D15" i="41"/>
  <c r="E15" i="41"/>
  <c r="F15" i="41"/>
  <c r="G15" i="41"/>
  <c r="B16" i="41"/>
  <c r="C16" i="41"/>
  <c r="D16" i="41"/>
  <c r="E16" i="41"/>
  <c r="F16" i="41"/>
  <c r="G16" i="41"/>
  <c r="B17" i="41"/>
  <c r="C17" i="41"/>
  <c r="D17" i="41"/>
  <c r="E17" i="41"/>
  <c r="F17" i="41"/>
  <c r="G17" i="41"/>
  <c r="B18" i="41"/>
  <c r="C18" i="41"/>
  <c r="D18" i="41"/>
  <c r="E18" i="41"/>
  <c r="F18" i="41"/>
  <c r="G18" i="41"/>
  <c r="B19" i="41"/>
  <c r="C19" i="41"/>
  <c r="D19" i="41"/>
  <c r="E19" i="41"/>
  <c r="F19" i="41"/>
  <c r="G19" i="41"/>
  <c r="B20" i="41"/>
  <c r="C20" i="41"/>
  <c r="D20" i="41"/>
  <c r="E20" i="41"/>
  <c r="F20" i="41"/>
  <c r="G20" i="41"/>
  <c r="B21" i="41"/>
  <c r="C21" i="41"/>
  <c r="D21" i="41"/>
  <c r="E21" i="41"/>
  <c r="F21" i="41"/>
  <c r="G21" i="41"/>
  <c r="G2" i="41"/>
  <c r="F2" i="41"/>
  <c r="E2" i="41"/>
  <c r="D2" i="41"/>
  <c r="C2" i="41"/>
  <c r="B2" i="41"/>
  <c r="B3" i="40"/>
  <c r="C3" i="40"/>
  <c r="D3" i="40"/>
  <c r="E3" i="40"/>
  <c r="F3" i="40"/>
  <c r="G3" i="40"/>
  <c r="B4" i="40"/>
  <c r="C4" i="40"/>
  <c r="D4" i="40"/>
  <c r="E4" i="40"/>
  <c r="F4" i="40"/>
  <c r="G4" i="40"/>
  <c r="B5" i="40"/>
  <c r="C5" i="40"/>
  <c r="D5" i="40"/>
  <c r="E5" i="40"/>
  <c r="F5" i="40"/>
  <c r="G5" i="40"/>
  <c r="B6" i="40"/>
  <c r="C6" i="40"/>
  <c r="D6" i="40"/>
  <c r="E6" i="40"/>
  <c r="F6" i="40"/>
  <c r="G6" i="40"/>
  <c r="B7" i="40"/>
  <c r="C7" i="40"/>
  <c r="D7" i="40"/>
  <c r="E7" i="40"/>
  <c r="F7" i="40"/>
  <c r="G7" i="40"/>
  <c r="B8" i="40"/>
  <c r="C8" i="40"/>
  <c r="D8" i="40"/>
  <c r="E8" i="40"/>
  <c r="F8" i="40"/>
  <c r="G8" i="40"/>
  <c r="B9" i="40"/>
  <c r="C9" i="40"/>
  <c r="D9" i="40"/>
  <c r="E9" i="40"/>
  <c r="F9" i="40"/>
  <c r="G9" i="40"/>
  <c r="B10" i="40"/>
  <c r="C10" i="40"/>
  <c r="D10" i="40"/>
  <c r="E10" i="40"/>
  <c r="F10" i="40"/>
  <c r="G10" i="40"/>
  <c r="B11" i="40"/>
  <c r="C11" i="40"/>
  <c r="D11" i="40"/>
  <c r="E11" i="40"/>
  <c r="F11" i="40"/>
  <c r="G11" i="40"/>
  <c r="B12" i="40"/>
  <c r="C12" i="40"/>
  <c r="D12" i="40"/>
  <c r="E12" i="40"/>
  <c r="F12" i="40"/>
  <c r="G12" i="40"/>
  <c r="B13" i="40"/>
  <c r="C13" i="40"/>
  <c r="D13" i="40"/>
  <c r="E13" i="40"/>
  <c r="F13" i="40"/>
  <c r="G13" i="40"/>
  <c r="B14" i="40"/>
  <c r="C14" i="40"/>
  <c r="D14" i="40"/>
  <c r="E14" i="40"/>
  <c r="F14" i="40"/>
  <c r="G14" i="40"/>
  <c r="B15" i="40"/>
  <c r="C15" i="40"/>
  <c r="D15" i="40"/>
  <c r="E15" i="40"/>
  <c r="F15" i="40"/>
  <c r="G15" i="40"/>
  <c r="B16" i="40"/>
  <c r="C16" i="40"/>
  <c r="D16" i="40"/>
  <c r="E16" i="40"/>
  <c r="F16" i="40"/>
  <c r="G16" i="40"/>
  <c r="B17" i="40"/>
  <c r="C17" i="40"/>
  <c r="D17" i="40"/>
  <c r="E17" i="40"/>
  <c r="F17" i="40"/>
  <c r="G17" i="40"/>
  <c r="B18" i="40"/>
  <c r="C18" i="40"/>
  <c r="D18" i="40"/>
  <c r="E18" i="40"/>
  <c r="F18" i="40"/>
  <c r="G18" i="40"/>
  <c r="B19" i="40"/>
  <c r="C19" i="40"/>
  <c r="D19" i="40"/>
  <c r="E19" i="40"/>
  <c r="F19" i="40"/>
  <c r="G19" i="40"/>
  <c r="B20" i="40"/>
  <c r="C20" i="40"/>
  <c r="D20" i="40"/>
  <c r="E20" i="40"/>
  <c r="F20" i="40"/>
  <c r="G20" i="40"/>
  <c r="B21" i="40"/>
  <c r="C21" i="40"/>
  <c r="D21" i="40"/>
  <c r="E21" i="40"/>
  <c r="F21" i="40"/>
  <c r="G21" i="40"/>
  <c r="G2" i="40"/>
  <c r="F2" i="40"/>
  <c r="E2" i="40"/>
  <c r="D2" i="40"/>
  <c r="C2" i="40"/>
  <c r="B2" i="40"/>
  <c r="B3" i="39"/>
  <c r="C3" i="39"/>
  <c r="D3" i="39"/>
  <c r="E3" i="39"/>
  <c r="F3" i="39"/>
  <c r="G3" i="39"/>
  <c r="B4" i="39"/>
  <c r="C4" i="39"/>
  <c r="D4" i="39"/>
  <c r="E4" i="39"/>
  <c r="F4" i="39"/>
  <c r="G4" i="39"/>
  <c r="B5" i="39"/>
  <c r="C5" i="39"/>
  <c r="D5" i="39"/>
  <c r="E5" i="39"/>
  <c r="F5" i="39"/>
  <c r="G5" i="39"/>
  <c r="B6" i="39"/>
  <c r="C6" i="39"/>
  <c r="D6" i="39"/>
  <c r="E6" i="39"/>
  <c r="F6" i="39"/>
  <c r="G6" i="39"/>
  <c r="B7" i="39"/>
  <c r="C7" i="39"/>
  <c r="D7" i="39"/>
  <c r="E7" i="39"/>
  <c r="F7" i="39"/>
  <c r="G7" i="39"/>
  <c r="B8" i="39"/>
  <c r="C8" i="39"/>
  <c r="D8" i="39"/>
  <c r="E8" i="39"/>
  <c r="F8" i="39"/>
  <c r="G8" i="39"/>
  <c r="B9" i="39"/>
  <c r="C9" i="39"/>
  <c r="D9" i="39"/>
  <c r="E9" i="39"/>
  <c r="F9" i="39"/>
  <c r="G9" i="39"/>
  <c r="B10" i="39"/>
  <c r="C10" i="39"/>
  <c r="D10" i="39"/>
  <c r="E10" i="39"/>
  <c r="F10" i="39"/>
  <c r="G10" i="39"/>
  <c r="B11" i="39"/>
  <c r="C11" i="39"/>
  <c r="D11" i="39"/>
  <c r="E11" i="39"/>
  <c r="F11" i="39"/>
  <c r="G11" i="39"/>
  <c r="B12" i="39"/>
  <c r="C12" i="39"/>
  <c r="D12" i="39"/>
  <c r="E12" i="39"/>
  <c r="F12" i="39"/>
  <c r="G12" i="39"/>
  <c r="B13" i="39"/>
  <c r="C13" i="39"/>
  <c r="D13" i="39"/>
  <c r="E13" i="39"/>
  <c r="F13" i="39"/>
  <c r="G13" i="39"/>
  <c r="B14" i="39"/>
  <c r="C14" i="39"/>
  <c r="D14" i="39"/>
  <c r="E14" i="39"/>
  <c r="F14" i="39"/>
  <c r="G14" i="39"/>
  <c r="B15" i="39"/>
  <c r="C15" i="39"/>
  <c r="D15" i="39"/>
  <c r="E15" i="39"/>
  <c r="F15" i="39"/>
  <c r="G15" i="39"/>
  <c r="B16" i="39"/>
  <c r="C16" i="39"/>
  <c r="D16" i="39"/>
  <c r="E16" i="39"/>
  <c r="F16" i="39"/>
  <c r="G16" i="39"/>
  <c r="B17" i="39"/>
  <c r="C17" i="39"/>
  <c r="D17" i="39"/>
  <c r="E17" i="39"/>
  <c r="F17" i="39"/>
  <c r="G17" i="39"/>
  <c r="B18" i="39"/>
  <c r="C18" i="39"/>
  <c r="D18" i="39"/>
  <c r="E18" i="39"/>
  <c r="F18" i="39"/>
  <c r="G18" i="39"/>
  <c r="B19" i="39"/>
  <c r="C19" i="39"/>
  <c r="D19" i="39"/>
  <c r="E19" i="39"/>
  <c r="F19" i="39"/>
  <c r="G19" i="39"/>
  <c r="B20" i="39"/>
  <c r="C20" i="39"/>
  <c r="D20" i="39"/>
  <c r="E20" i="39"/>
  <c r="F20" i="39"/>
  <c r="G20" i="39"/>
  <c r="B21" i="39"/>
  <c r="C21" i="39"/>
  <c r="D21" i="39"/>
  <c r="E21" i="39"/>
  <c r="F21" i="39"/>
  <c r="G21" i="39"/>
  <c r="B2" i="39"/>
  <c r="G2" i="39"/>
  <c r="F2" i="39"/>
  <c r="E2" i="39"/>
  <c r="D2" i="39"/>
  <c r="C2" i="39"/>
  <c r="B3" i="38"/>
  <c r="C3" i="38"/>
  <c r="D3" i="38"/>
  <c r="E3" i="38"/>
  <c r="F3" i="38"/>
  <c r="G3" i="38"/>
  <c r="B4" i="38"/>
  <c r="C4" i="38"/>
  <c r="D4" i="38"/>
  <c r="E4" i="38"/>
  <c r="F4" i="38"/>
  <c r="G4" i="38"/>
  <c r="B5" i="38"/>
  <c r="C5" i="38"/>
  <c r="D5" i="38"/>
  <c r="E5" i="38"/>
  <c r="F5" i="38"/>
  <c r="G5" i="38"/>
  <c r="B6" i="38"/>
  <c r="C6" i="38"/>
  <c r="D6" i="38"/>
  <c r="E6" i="38"/>
  <c r="F6" i="38"/>
  <c r="G6" i="38"/>
  <c r="B7" i="38"/>
  <c r="C7" i="38"/>
  <c r="D7" i="38"/>
  <c r="E7" i="38"/>
  <c r="F7" i="38"/>
  <c r="G7" i="38"/>
  <c r="B8" i="38"/>
  <c r="C8" i="38"/>
  <c r="D8" i="38"/>
  <c r="E8" i="38"/>
  <c r="F8" i="38"/>
  <c r="G8" i="38"/>
  <c r="B9" i="38"/>
  <c r="C9" i="38"/>
  <c r="D9" i="38"/>
  <c r="E9" i="38"/>
  <c r="F9" i="38"/>
  <c r="G9" i="38"/>
  <c r="B10" i="38"/>
  <c r="C10" i="38"/>
  <c r="D10" i="38"/>
  <c r="E10" i="38"/>
  <c r="F10" i="38"/>
  <c r="G10" i="38"/>
  <c r="B11" i="38"/>
  <c r="C11" i="38"/>
  <c r="D11" i="38"/>
  <c r="E11" i="38"/>
  <c r="F11" i="38"/>
  <c r="G11" i="38"/>
  <c r="B12" i="38"/>
  <c r="C12" i="38"/>
  <c r="D12" i="38"/>
  <c r="E12" i="38"/>
  <c r="F12" i="38"/>
  <c r="G12" i="38"/>
  <c r="B13" i="38"/>
  <c r="C13" i="38"/>
  <c r="D13" i="38"/>
  <c r="E13" i="38"/>
  <c r="F13" i="38"/>
  <c r="G13" i="38"/>
  <c r="B14" i="38"/>
  <c r="C14" i="38"/>
  <c r="D14" i="38"/>
  <c r="E14" i="38"/>
  <c r="F14" i="38"/>
  <c r="G14" i="38"/>
  <c r="B15" i="38"/>
  <c r="C15" i="38"/>
  <c r="D15" i="38"/>
  <c r="E15" i="38"/>
  <c r="F15" i="38"/>
  <c r="G15" i="38"/>
  <c r="B16" i="38"/>
  <c r="C16" i="38"/>
  <c r="D16" i="38"/>
  <c r="E16" i="38"/>
  <c r="F16" i="38"/>
  <c r="G16" i="38"/>
  <c r="B17" i="38"/>
  <c r="C17" i="38"/>
  <c r="D17" i="38"/>
  <c r="E17" i="38"/>
  <c r="F17" i="38"/>
  <c r="G17" i="38"/>
  <c r="B18" i="38"/>
  <c r="C18" i="38"/>
  <c r="D18" i="38"/>
  <c r="E18" i="38"/>
  <c r="F18" i="38"/>
  <c r="G18" i="38"/>
  <c r="B19" i="38"/>
  <c r="C19" i="38"/>
  <c r="D19" i="38"/>
  <c r="E19" i="38"/>
  <c r="F19" i="38"/>
  <c r="G19" i="38"/>
  <c r="B20" i="38"/>
  <c r="C20" i="38"/>
  <c r="D20" i="38"/>
  <c r="E20" i="38"/>
  <c r="F20" i="38"/>
  <c r="G20" i="38"/>
  <c r="B21" i="38"/>
  <c r="C21" i="38"/>
  <c r="D21" i="38"/>
  <c r="E21" i="38"/>
  <c r="F21" i="38"/>
  <c r="G21" i="38"/>
  <c r="G2" i="38"/>
  <c r="F2" i="38"/>
  <c r="E2" i="38"/>
  <c r="D2" i="38"/>
  <c r="C2" i="38"/>
  <c r="B2" i="38"/>
  <c r="B3" i="37"/>
  <c r="C3" i="37"/>
  <c r="D3" i="37"/>
  <c r="E3" i="37"/>
  <c r="F3" i="37"/>
  <c r="G3" i="37"/>
  <c r="B4" i="37"/>
  <c r="C4" i="37"/>
  <c r="D4" i="37"/>
  <c r="E4" i="37"/>
  <c r="F4" i="37"/>
  <c r="G4" i="37"/>
  <c r="B5" i="37"/>
  <c r="C5" i="37"/>
  <c r="D5" i="37"/>
  <c r="E5" i="37"/>
  <c r="F5" i="37"/>
  <c r="G5" i="37"/>
  <c r="B6" i="37"/>
  <c r="C6" i="37"/>
  <c r="D6" i="37"/>
  <c r="E6" i="37"/>
  <c r="F6" i="37"/>
  <c r="G6" i="37"/>
  <c r="B7" i="37"/>
  <c r="C7" i="37"/>
  <c r="D7" i="37"/>
  <c r="E7" i="37"/>
  <c r="F7" i="37"/>
  <c r="G7" i="37"/>
  <c r="B8" i="37"/>
  <c r="C8" i="37"/>
  <c r="D8" i="37"/>
  <c r="E8" i="37"/>
  <c r="F8" i="37"/>
  <c r="G8" i="37"/>
  <c r="B9" i="37"/>
  <c r="C9" i="37"/>
  <c r="D9" i="37"/>
  <c r="E9" i="37"/>
  <c r="F9" i="37"/>
  <c r="G9" i="37"/>
  <c r="B10" i="37"/>
  <c r="C10" i="37"/>
  <c r="D10" i="37"/>
  <c r="E10" i="37"/>
  <c r="F10" i="37"/>
  <c r="G10" i="37"/>
  <c r="B11" i="37"/>
  <c r="C11" i="37"/>
  <c r="D11" i="37"/>
  <c r="E11" i="37"/>
  <c r="F11" i="37"/>
  <c r="G11" i="37"/>
  <c r="B12" i="37"/>
  <c r="C12" i="37"/>
  <c r="D12" i="37"/>
  <c r="E12" i="37"/>
  <c r="F12" i="37"/>
  <c r="G12" i="37"/>
  <c r="B13" i="37"/>
  <c r="C13" i="37"/>
  <c r="D13" i="37"/>
  <c r="E13" i="37"/>
  <c r="F13" i="37"/>
  <c r="G13" i="37"/>
  <c r="B14" i="37"/>
  <c r="C14" i="37"/>
  <c r="D14" i="37"/>
  <c r="E14" i="37"/>
  <c r="F14" i="37"/>
  <c r="G14" i="37"/>
  <c r="B15" i="37"/>
  <c r="C15" i="37"/>
  <c r="D15" i="37"/>
  <c r="E15" i="37"/>
  <c r="F15" i="37"/>
  <c r="G15" i="37"/>
  <c r="B16" i="37"/>
  <c r="C16" i="37"/>
  <c r="D16" i="37"/>
  <c r="E16" i="37"/>
  <c r="F16" i="37"/>
  <c r="G16" i="37"/>
  <c r="B17" i="37"/>
  <c r="C17" i="37"/>
  <c r="D17" i="37"/>
  <c r="E17" i="37"/>
  <c r="F17" i="37"/>
  <c r="G17" i="37"/>
  <c r="B18" i="37"/>
  <c r="C18" i="37"/>
  <c r="D18" i="37"/>
  <c r="E18" i="37"/>
  <c r="F18" i="37"/>
  <c r="G18" i="37"/>
  <c r="B19" i="37"/>
  <c r="C19" i="37"/>
  <c r="D19" i="37"/>
  <c r="E19" i="37"/>
  <c r="F19" i="37"/>
  <c r="G19" i="37"/>
  <c r="B20" i="37"/>
  <c r="C20" i="37"/>
  <c r="D20" i="37"/>
  <c r="E20" i="37"/>
  <c r="F20" i="37"/>
  <c r="G20" i="37"/>
  <c r="B21" i="37"/>
  <c r="C21" i="37"/>
  <c r="D21" i="37"/>
  <c r="E21" i="37"/>
  <c r="F21" i="37"/>
  <c r="G21" i="37"/>
  <c r="G2" i="37"/>
  <c r="F2" i="37"/>
  <c r="E2" i="37"/>
  <c r="D2" i="37"/>
  <c r="C2" i="37"/>
  <c r="B2" i="37"/>
  <c r="B3" i="36"/>
  <c r="C3" i="36"/>
  <c r="D3" i="36"/>
  <c r="E3" i="36"/>
  <c r="F3" i="36"/>
  <c r="G3" i="36"/>
  <c r="B4" i="36"/>
  <c r="C4" i="36"/>
  <c r="D4" i="36"/>
  <c r="E4" i="36"/>
  <c r="F4" i="36"/>
  <c r="G4" i="36"/>
  <c r="B5" i="36"/>
  <c r="C5" i="36"/>
  <c r="D5" i="36"/>
  <c r="E5" i="36"/>
  <c r="F5" i="36"/>
  <c r="G5" i="36"/>
  <c r="B6" i="36"/>
  <c r="C6" i="36"/>
  <c r="D6" i="36"/>
  <c r="E6" i="36"/>
  <c r="F6" i="36"/>
  <c r="G6" i="36"/>
  <c r="B7" i="36"/>
  <c r="C7" i="36"/>
  <c r="D7" i="36"/>
  <c r="E7" i="36"/>
  <c r="F7" i="36"/>
  <c r="G7" i="36"/>
  <c r="B8" i="36"/>
  <c r="C8" i="36"/>
  <c r="D8" i="36"/>
  <c r="E8" i="36"/>
  <c r="F8" i="36"/>
  <c r="G8" i="36"/>
  <c r="B9" i="36"/>
  <c r="C9" i="36"/>
  <c r="D9" i="36"/>
  <c r="E9" i="36"/>
  <c r="F9" i="36"/>
  <c r="G9" i="36"/>
  <c r="B10" i="36"/>
  <c r="C10" i="36"/>
  <c r="D10" i="36"/>
  <c r="E10" i="36"/>
  <c r="F10" i="36"/>
  <c r="G10" i="36"/>
  <c r="B11" i="36"/>
  <c r="C11" i="36"/>
  <c r="D11" i="36"/>
  <c r="E11" i="36"/>
  <c r="F11" i="36"/>
  <c r="G11" i="36"/>
  <c r="B12" i="36"/>
  <c r="C12" i="36"/>
  <c r="D12" i="36"/>
  <c r="E12" i="36"/>
  <c r="F12" i="36"/>
  <c r="G12" i="36"/>
  <c r="B13" i="36"/>
  <c r="C13" i="36"/>
  <c r="D13" i="36"/>
  <c r="E13" i="36"/>
  <c r="F13" i="36"/>
  <c r="G13" i="36"/>
  <c r="B14" i="36"/>
  <c r="C14" i="36"/>
  <c r="D14" i="36"/>
  <c r="E14" i="36"/>
  <c r="F14" i="36"/>
  <c r="G14" i="36"/>
  <c r="B15" i="36"/>
  <c r="C15" i="36"/>
  <c r="D15" i="36"/>
  <c r="E15" i="36"/>
  <c r="F15" i="36"/>
  <c r="G15" i="36"/>
  <c r="B16" i="36"/>
  <c r="C16" i="36"/>
  <c r="D16" i="36"/>
  <c r="E16" i="36"/>
  <c r="F16" i="36"/>
  <c r="G16" i="36"/>
  <c r="B17" i="36"/>
  <c r="C17" i="36"/>
  <c r="D17" i="36"/>
  <c r="E17" i="36"/>
  <c r="F17" i="36"/>
  <c r="G17" i="36"/>
  <c r="B18" i="36"/>
  <c r="C18" i="36"/>
  <c r="D18" i="36"/>
  <c r="E18" i="36"/>
  <c r="F18" i="36"/>
  <c r="G18" i="36"/>
  <c r="B19" i="36"/>
  <c r="C19" i="36"/>
  <c r="D19" i="36"/>
  <c r="E19" i="36"/>
  <c r="F19" i="36"/>
  <c r="G19" i="36"/>
  <c r="B20" i="36"/>
  <c r="C20" i="36"/>
  <c r="D20" i="36"/>
  <c r="E20" i="36"/>
  <c r="F20" i="36"/>
  <c r="G20" i="36"/>
  <c r="B21" i="36"/>
  <c r="C21" i="36"/>
  <c r="D21" i="36"/>
  <c r="E21" i="36"/>
  <c r="F21" i="36"/>
  <c r="G21" i="36"/>
  <c r="G2" i="36"/>
  <c r="F2" i="36"/>
  <c r="E2" i="36"/>
  <c r="D2" i="36"/>
  <c r="C2" i="36"/>
  <c r="B2" i="36"/>
  <c r="B3" i="35"/>
  <c r="C3" i="35"/>
  <c r="D3" i="35"/>
  <c r="E3" i="35"/>
  <c r="F3" i="35"/>
  <c r="G3" i="35"/>
  <c r="B4" i="35"/>
  <c r="C4" i="35"/>
  <c r="D4" i="35"/>
  <c r="E4" i="35"/>
  <c r="F4" i="35"/>
  <c r="G4" i="35"/>
  <c r="B5" i="35"/>
  <c r="C5" i="35"/>
  <c r="D5" i="35"/>
  <c r="E5" i="35"/>
  <c r="F5" i="35"/>
  <c r="G5" i="35"/>
  <c r="B6" i="35"/>
  <c r="C6" i="35"/>
  <c r="D6" i="35"/>
  <c r="E6" i="35"/>
  <c r="F6" i="35"/>
  <c r="G6" i="35"/>
  <c r="B7" i="35"/>
  <c r="C7" i="35"/>
  <c r="D7" i="35"/>
  <c r="E7" i="35"/>
  <c r="F7" i="35"/>
  <c r="G7" i="35"/>
  <c r="B8" i="35"/>
  <c r="C8" i="35"/>
  <c r="D8" i="35"/>
  <c r="E8" i="35"/>
  <c r="F8" i="35"/>
  <c r="G8" i="35"/>
  <c r="B9" i="35"/>
  <c r="C9" i="35"/>
  <c r="D9" i="35"/>
  <c r="E9" i="35"/>
  <c r="F9" i="35"/>
  <c r="G9" i="35"/>
  <c r="B10" i="35"/>
  <c r="C10" i="35"/>
  <c r="D10" i="35"/>
  <c r="E10" i="35"/>
  <c r="F10" i="35"/>
  <c r="G10" i="35"/>
  <c r="B11" i="35"/>
  <c r="C11" i="35"/>
  <c r="D11" i="35"/>
  <c r="E11" i="35"/>
  <c r="F11" i="35"/>
  <c r="G11" i="35"/>
  <c r="B12" i="35"/>
  <c r="C12" i="35"/>
  <c r="D12" i="35"/>
  <c r="E12" i="35"/>
  <c r="F12" i="35"/>
  <c r="G12" i="35"/>
  <c r="B13" i="35"/>
  <c r="C13" i="35"/>
  <c r="D13" i="35"/>
  <c r="E13" i="35"/>
  <c r="F13" i="35"/>
  <c r="G13" i="35"/>
  <c r="B14" i="35"/>
  <c r="C14" i="35"/>
  <c r="D14" i="35"/>
  <c r="E14" i="35"/>
  <c r="F14" i="35"/>
  <c r="G14" i="35"/>
  <c r="B15" i="35"/>
  <c r="C15" i="35"/>
  <c r="D15" i="35"/>
  <c r="E15" i="35"/>
  <c r="F15" i="35"/>
  <c r="G15" i="35"/>
  <c r="B16" i="35"/>
  <c r="C16" i="35"/>
  <c r="D16" i="35"/>
  <c r="E16" i="35"/>
  <c r="F16" i="35"/>
  <c r="G16" i="35"/>
  <c r="B17" i="35"/>
  <c r="C17" i="35"/>
  <c r="D17" i="35"/>
  <c r="E17" i="35"/>
  <c r="F17" i="35"/>
  <c r="G17" i="35"/>
  <c r="B18" i="35"/>
  <c r="C18" i="35"/>
  <c r="D18" i="35"/>
  <c r="E18" i="35"/>
  <c r="F18" i="35"/>
  <c r="G18" i="35"/>
  <c r="B19" i="35"/>
  <c r="C19" i="35"/>
  <c r="D19" i="35"/>
  <c r="E19" i="35"/>
  <c r="F19" i="35"/>
  <c r="G19" i="35"/>
  <c r="B20" i="35"/>
  <c r="C20" i="35"/>
  <c r="D20" i="35"/>
  <c r="E20" i="35"/>
  <c r="F20" i="35"/>
  <c r="G20" i="35"/>
  <c r="B21" i="35"/>
  <c r="C21" i="35"/>
  <c r="D21" i="35"/>
  <c r="E21" i="35"/>
  <c r="F21" i="35"/>
  <c r="G21" i="35"/>
  <c r="G2" i="35"/>
  <c r="F2" i="35"/>
  <c r="E2" i="35"/>
  <c r="D2" i="35"/>
  <c r="C2" i="35"/>
  <c r="B2" i="35"/>
  <c r="B3" i="34"/>
  <c r="C3" i="34"/>
  <c r="D3" i="34"/>
  <c r="E3" i="34"/>
  <c r="F3" i="34"/>
  <c r="G3" i="34"/>
  <c r="B4" i="34"/>
  <c r="C4" i="34"/>
  <c r="D4" i="34"/>
  <c r="E4" i="34"/>
  <c r="F4" i="34"/>
  <c r="G4" i="34"/>
  <c r="B5" i="34"/>
  <c r="C5" i="34"/>
  <c r="D5" i="34"/>
  <c r="E5" i="34"/>
  <c r="F5" i="34"/>
  <c r="G5" i="34"/>
  <c r="B6" i="34"/>
  <c r="C6" i="34"/>
  <c r="D6" i="34"/>
  <c r="E6" i="34"/>
  <c r="F6" i="34"/>
  <c r="G6" i="34"/>
  <c r="B7" i="34"/>
  <c r="C7" i="34"/>
  <c r="D7" i="34"/>
  <c r="E7" i="34"/>
  <c r="F7" i="34"/>
  <c r="G7" i="34"/>
  <c r="B8" i="34"/>
  <c r="C8" i="34"/>
  <c r="D8" i="34"/>
  <c r="E8" i="34"/>
  <c r="F8" i="34"/>
  <c r="G8" i="34"/>
  <c r="B9" i="34"/>
  <c r="C9" i="34"/>
  <c r="D9" i="34"/>
  <c r="E9" i="34"/>
  <c r="F9" i="34"/>
  <c r="G9" i="34"/>
  <c r="B10" i="34"/>
  <c r="C10" i="34"/>
  <c r="D10" i="34"/>
  <c r="E10" i="34"/>
  <c r="F10" i="34"/>
  <c r="G10" i="34"/>
  <c r="B11" i="34"/>
  <c r="C11" i="34"/>
  <c r="D11" i="34"/>
  <c r="E11" i="34"/>
  <c r="F11" i="34"/>
  <c r="G11" i="34"/>
  <c r="B12" i="34"/>
  <c r="C12" i="34"/>
  <c r="D12" i="34"/>
  <c r="E12" i="34"/>
  <c r="F12" i="34"/>
  <c r="G12" i="34"/>
  <c r="B13" i="34"/>
  <c r="C13" i="34"/>
  <c r="D13" i="34"/>
  <c r="E13" i="34"/>
  <c r="F13" i="34"/>
  <c r="G13" i="34"/>
  <c r="B14" i="34"/>
  <c r="C14" i="34"/>
  <c r="D14" i="34"/>
  <c r="E14" i="34"/>
  <c r="F14" i="34"/>
  <c r="G14" i="34"/>
  <c r="B15" i="34"/>
  <c r="C15" i="34"/>
  <c r="D15" i="34"/>
  <c r="E15" i="34"/>
  <c r="F15" i="34"/>
  <c r="G15" i="34"/>
  <c r="B16" i="34"/>
  <c r="C16" i="34"/>
  <c r="D16" i="34"/>
  <c r="E16" i="34"/>
  <c r="F16" i="34"/>
  <c r="G16" i="34"/>
  <c r="B17" i="34"/>
  <c r="C17" i="34"/>
  <c r="D17" i="34"/>
  <c r="E17" i="34"/>
  <c r="F17" i="34"/>
  <c r="G17" i="34"/>
  <c r="B18" i="34"/>
  <c r="C18" i="34"/>
  <c r="D18" i="34"/>
  <c r="E18" i="34"/>
  <c r="F18" i="34"/>
  <c r="G18" i="34"/>
  <c r="B19" i="34"/>
  <c r="C19" i="34"/>
  <c r="D19" i="34"/>
  <c r="E19" i="34"/>
  <c r="F19" i="34"/>
  <c r="G19" i="34"/>
  <c r="B20" i="34"/>
  <c r="C20" i="34"/>
  <c r="D20" i="34"/>
  <c r="E20" i="34"/>
  <c r="F20" i="34"/>
  <c r="G20" i="34"/>
  <c r="B21" i="34"/>
  <c r="C21" i="34"/>
  <c r="D21" i="34"/>
  <c r="E21" i="34"/>
  <c r="F21" i="34"/>
  <c r="G21" i="34"/>
  <c r="G2" i="34"/>
  <c r="F2" i="34"/>
  <c r="E2" i="34"/>
  <c r="D2" i="34"/>
  <c r="C2" i="34"/>
  <c r="B2" i="34"/>
  <c r="B3" i="33"/>
  <c r="C3" i="33"/>
  <c r="D3" i="33"/>
  <c r="E3" i="33"/>
  <c r="F3" i="33"/>
  <c r="G3" i="33"/>
  <c r="B4" i="33"/>
  <c r="C4" i="33"/>
  <c r="D4" i="33"/>
  <c r="E4" i="33"/>
  <c r="F4" i="33"/>
  <c r="G4" i="33"/>
  <c r="B5" i="33"/>
  <c r="C5" i="33"/>
  <c r="D5" i="33"/>
  <c r="E5" i="33"/>
  <c r="F5" i="33"/>
  <c r="G5" i="33"/>
  <c r="B6" i="33"/>
  <c r="C6" i="33"/>
  <c r="D6" i="33"/>
  <c r="E6" i="33"/>
  <c r="F6" i="33"/>
  <c r="G6" i="33"/>
  <c r="B7" i="33"/>
  <c r="C7" i="33"/>
  <c r="D7" i="33"/>
  <c r="E7" i="33"/>
  <c r="F7" i="33"/>
  <c r="G7" i="33"/>
  <c r="B8" i="33"/>
  <c r="C8" i="33"/>
  <c r="D8" i="33"/>
  <c r="E8" i="33"/>
  <c r="F8" i="33"/>
  <c r="G8" i="33"/>
  <c r="B9" i="33"/>
  <c r="C9" i="33"/>
  <c r="D9" i="33"/>
  <c r="E9" i="33"/>
  <c r="F9" i="33"/>
  <c r="G9" i="33"/>
  <c r="B10" i="33"/>
  <c r="C10" i="33"/>
  <c r="D10" i="33"/>
  <c r="E10" i="33"/>
  <c r="F10" i="33"/>
  <c r="G10" i="33"/>
  <c r="B11" i="33"/>
  <c r="C11" i="33"/>
  <c r="D11" i="33"/>
  <c r="E11" i="33"/>
  <c r="F11" i="33"/>
  <c r="G11" i="33"/>
  <c r="B12" i="33"/>
  <c r="C12" i="33"/>
  <c r="D12" i="33"/>
  <c r="E12" i="33"/>
  <c r="F12" i="33"/>
  <c r="G12" i="33"/>
  <c r="B13" i="33"/>
  <c r="C13" i="33"/>
  <c r="D13" i="33"/>
  <c r="E13" i="33"/>
  <c r="F13" i="33"/>
  <c r="G13" i="33"/>
  <c r="B14" i="33"/>
  <c r="C14" i="33"/>
  <c r="D14" i="33"/>
  <c r="E14" i="33"/>
  <c r="F14" i="33"/>
  <c r="G14" i="33"/>
  <c r="B15" i="33"/>
  <c r="C15" i="33"/>
  <c r="D15" i="33"/>
  <c r="E15" i="33"/>
  <c r="F15" i="33"/>
  <c r="G15" i="33"/>
  <c r="B16" i="33"/>
  <c r="C16" i="33"/>
  <c r="D16" i="33"/>
  <c r="E16" i="33"/>
  <c r="F16" i="33"/>
  <c r="G16" i="33"/>
  <c r="B17" i="33"/>
  <c r="C17" i="33"/>
  <c r="D17" i="33"/>
  <c r="E17" i="33"/>
  <c r="F17" i="33"/>
  <c r="G17" i="33"/>
  <c r="B18" i="33"/>
  <c r="C18" i="33"/>
  <c r="D18" i="33"/>
  <c r="E18" i="33"/>
  <c r="F18" i="33"/>
  <c r="G18" i="33"/>
  <c r="B19" i="33"/>
  <c r="C19" i="33"/>
  <c r="D19" i="33"/>
  <c r="E19" i="33"/>
  <c r="F19" i="33"/>
  <c r="G19" i="33"/>
  <c r="B20" i="33"/>
  <c r="C20" i="33"/>
  <c r="D20" i="33"/>
  <c r="E20" i="33"/>
  <c r="F20" i="33"/>
  <c r="G20" i="33"/>
  <c r="B21" i="33"/>
  <c r="C21" i="33"/>
  <c r="D21" i="33"/>
  <c r="E21" i="33"/>
  <c r="F21" i="33"/>
  <c r="G21" i="33"/>
  <c r="G2" i="33"/>
  <c r="F2" i="33"/>
  <c r="E2" i="33"/>
  <c r="D2" i="33"/>
  <c r="C2" i="33"/>
  <c r="B2" i="33"/>
  <c r="B3" i="32"/>
  <c r="C3" i="32"/>
  <c r="D3" i="32"/>
  <c r="E3" i="32"/>
  <c r="F3" i="32"/>
  <c r="G3" i="32"/>
  <c r="B4" i="32"/>
  <c r="C4" i="32"/>
  <c r="D4" i="32"/>
  <c r="E4" i="32"/>
  <c r="F4" i="32"/>
  <c r="G4" i="32"/>
  <c r="B5" i="32"/>
  <c r="C5" i="32"/>
  <c r="D5" i="32"/>
  <c r="E5" i="32"/>
  <c r="F5" i="32"/>
  <c r="G5" i="32"/>
  <c r="B6" i="32"/>
  <c r="C6" i="32"/>
  <c r="D6" i="32"/>
  <c r="E6" i="32"/>
  <c r="F6" i="32"/>
  <c r="G6" i="32"/>
  <c r="B7" i="32"/>
  <c r="C7" i="32"/>
  <c r="D7" i="32"/>
  <c r="E7" i="32"/>
  <c r="F7" i="32"/>
  <c r="G7" i="32"/>
  <c r="B8" i="32"/>
  <c r="C8" i="32"/>
  <c r="D8" i="32"/>
  <c r="E8" i="32"/>
  <c r="F8" i="32"/>
  <c r="G8" i="32"/>
  <c r="B9" i="32"/>
  <c r="C9" i="32"/>
  <c r="D9" i="32"/>
  <c r="E9" i="32"/>
  <c r="F9" i="32"/>
  <c r="G9" i="32"/>
  <c r="B10" i="32"/>
  <c r="C10" i="32"/>
  <c r="D10" i="32"/>
  <c r="E10" i="32"/>
  <c r="F10" i="32"/>
  <c r="G10" i="32"/>
  <c r="B11" i="32"/>
  <c r="C11" i="32"/>
  <c r="D11" i="32"/>
  <c r="E11" i="32"/>
  <c r="F11" i="32"/>
  <c r="G11" i="32"/>
  <c r="B12" i="32"/>
  <c r="C12" i="32"/>
  <c r="D12" i="32"/>
  <c r="E12" i="32"/>
  <c r="F12" i="32"/>
  <c r="G12" i="32"/>
  <c r="B13" i="32"/>
  <c r="C13" i="32"/>
  <c r="D13" i="32"/>
  <c r="E13" i="32"/>
  <c r="F13" i="32"/>
  <c r="G13" i="32"/>
  <c r="B14" i="32"/>
  <c r="C14" i="32"/>
  <c r="D14" i="32"/>
  <c r="E14" i="32"/>
  <c r="F14" i="32"/>
  <c r="G14" i="32"/>
  <c r="B15" i="32"/>
  <c r="C15" i="32"/>
  <c r="D15" i="32"/>
  <c r="E15" i="32"/>
  <c r="F15" i="32"/>
  <c r="G15" i="32"/>
  <c r="B16" i="32"/>
  <c r="C16" i="32"/>
  <c r="D16" i="32"/>
  <c r="E16" i="32"/>
  <c r="F16" i="32"/>
  <c r="G16" i="32"/>
  <c r="B17" i="32"/>
  <c r="C17" i="32"/>
  <c r="D17" i="32"/>
  <c r="E17" i="32"/>
  <c r="F17" i="32"/>
  <c r="G17" i="32"/>
  <c r="B18" i="32"/>
  <c r="C18" i="32"/>
  <c r="D18" i="32"/>
  <c r="E18" i="32"/>
  <c r="F18" i="32"/>
  <c r="G18" i="32"/>
  <c r="B19" i="32"/>
  <c r="C19" i="32"/>
  <c r="D19" i="32"/>
  <c r="E19" i="32"/>
  <c r="F19" i="32"/>
  <c r="G19" i="32"/>
  <c r="B20" i="32"/>
  <c r="C20" i="32"/>
  <c r="D20" i="32"/>
  <c r="E20" i="32"/>
  <c r="F20" i="32"/>
  <c r="G20" i="32"/>
  <c r="B21" i="32"/>
  <c r="C21" i="32"/>
  <c r="D21" i="32"/>
  <c r="E21" i="32"/>
  <c r="F21" i="32"/>
  <c r="G21" i="32"/>
  <c r="G2" i="32"/>
  <c r="F2" i="32"/>
  <c r="E2" i="32"/>
  <c r="D2" i="32"/>
  <c r="C2" i="32"/>
  <c r="B2" i="32"/>
  <c r="B3" i="31"/>
  <c r="C3" i="31"/>
  <c r="D3" i="31"/>
  <c r="E3" i="31"/>
  <c r="F3" i="31"/>
  <c r="G3" i="31"/>
  <c r="B4" i="31"/>
  <c r="C4" i="31"/>
  <c r="D4" i="31"/>
  <c r="E4" i="31"/>
  <c r="F4" i="31"/>
  <c r="G4" i="31"/>
  <c r="B5" i="31"/>
  <c r="C5" i="31"/>
  <c r="D5" i="31"/>
  <c r="E5" i="31"/>
  <c r="F5" i="31"/>
  <c r="G5" i="31"/>
  <c r="B6" i="31"/>
  <c r="C6" i="31"/>
  <c r="D6" i="31"/>
  <c r="E6" i="31"/>
  <c r="F6" i="31"/>
  <c r="G6" i="31"/>
  <c r="B7" i="31"/>
  <c r="C7" i="31"/>
  <c r="D7" i="31"/>
  <c r="E7" i="31"/>
  <c r="F7" i="31"/>
  <c r="G7" i="31"/>
  <c r="B8" i="31"/>
  <c r="C8" i="31"/>
  <c r="D8" i="31"/>
  <c r="E8" i="31"/>
  <c r="F8" i="31"/>
  <c r="G8" i="31"/>
  <c r="B9" i="31"/>
  <c r="C9" i="31"/>
  <c r="D9" i="31"/>
  <c r="E9" i="31"/>
  <c r="F9" i="31"/>
  <c r="G9" i="31"/>
  <c r="B10" i="31"/>
  <c r="C10" i="31"/>
  <c r="D10" i="31"/>
  <c r="E10" i="31"/>
  <c r="F10" i="31"/>
  <c r="G10" i="31"/>
  <c r="B11" i="31"/>
  <c r="C11" i="31"/>
  <c r="D11" i="31"/>
  <c r="E11" i="31"/>
  <c r="F11" i="31"/>
  <c r="G11" i="31"/>
  <c r="B12" i="31"/>
  <c r="C12" i="31"/>
  <c r="D12" i="31"/>
  <c r="E12" i="31"/>
  <c r="F12" i="31"/>
  <c r="G12" i="31"/>
  <c r="B13" i="31"/>
  <c r="C13" i="31"/>
  <c r="D13" i="31"/>
  <c r="E13" i="31"/>
  <c r="F13" i="31"/>
  <c r="G13" i="31"/>
  <c r="B14" i="31"/>
  <c r="C14" i="31"/>
  <c r="D14" i="31"/>
  <c r="E14" i="31"/>
  <c r="F14" i="31"/>
  <c r="G14" i="31"/>
  <c r="B15" i="31"/>
  <c r="C15" i="31"/>
  <c r="D15" i="31"/>
  <c r="E15" i="31"/>
  <c r="F15" i="31"/>
  <c r="G15" i="31"/>
  <c r="B16" i="31"/>
  <c r="C16" i="31"/>
  <c r="D16" i="31"/>
  <c r="E16" i="31"/>
  <c r="F16" i="31"/>
  <c r="G16" i="31"/>
  <c r="B17" i="31"/>
  <c r="C17" i="31"/>
  <c r="D17" i="31"/>
  <c r="E17" i="31"/>
  <c r="F17" i="31"/>
  <c r="G17" i="31"/>
  <c r="B18" i="31"/>
  <c r="C18" i="31"/>
  <c r="D18" i="31"/>
  <c r="E18" i="31"/>
  <c r="F18" i="31"/>
  <c r="G18" i="31"/>
  <c r="B19" i="31"/>
  <c r="C19" i="31"/>
  <c r="D19" i="31"/>
  <c r="E19" i="31"/>
  <c r="F19" i="31"/>
  <c r="G19" i="31"/>
  <c r="B20" i="31"/>
  <c r="C20" i="31"/>
  <c r="D20" i="31"/>
  <c r="E20" i="31"/>
  <c r="F20" i="31"/>
  <c r="G20" i="31"/>
  <c r="B21" i="31"/>
  <c r="C21" i="31"/>
  <c r="D21" i="31"/>
  <c r="E21" i="31"/>
  <c r="F21" i="31"/>
  <c r="G21" i="31"/>
  <c r="G2" i="31"/>
  <c r="F2" i="31"/>
  <c r="E2" i="31"/>
  <c r="D2" i="31"/>
  <c r="C2" i="31"/>
  <c r="B2" i="31"/>
  <c r="B3" i="30"/>
  <c r="C3" i="30"/>
  <c r="D3" i="30"/>
  <c r="E3" i="30"/>
  <c r="F3" i="30"/>
  <c r="G3" i="30"/>
  <c r="B4" i="30"/>
  <c r="C4" i="30"/>
  <c r="D4" i="30"/>
  <c r="E4" i="30"/>
  <c r="F4" i="30"/>
  <c r="G4" i="30"/>
  <c r="B5" i="30"/>
  <c r="C5" i="30"/>
  <c r="D5" i="30"/>
  <c r="E5" i="30"/>
  <c r="F5" i="30"/>
  <c r="G5" i="30"/>
  <c r="B6" i="30"/>
  <c r="C6" i="30"/>
  <c r="D6" i="30"/>
  <c r="E6" i="30"/>
  <c r="F6" i="30"/>
  <c r="G6" i="30"/>
  <c r="B7" i="30"/>
  <c r="C7" i="30"/>
  <c r="D7" i="30"/>
  <c r="E7" i="30"/>
  <c r="F7" i="30"/>
  <c r="G7" i="30"/>
  <c r="B8" i="30"/>
  <c r="C8" i="30"/>
  <c r="D8" i="30"/>
  <c r="E8" i="30"/>
  <c r="F8" i="30"/>
  <c r="G8" i="30"/>
  <c r="B9" i="30"/>
  <c r="C9" i="30"/>
  <c r="D9" i="30"/>
  <c r="E9" i="30"/>
  <c r="F9" i="30"/>
  <c r="G9" i="30"/>
  <c r="B10" i="30"/>
  <c r="C10" i="30"/>
  <c r="D10" i="30"/>
  <c r="E10" i="30"/>
  <c r="F10" i="30"/>
  <c r="G10" i="30"/>
  <c r="B11" i="30"/>
  <c r="C11" i="30"/>
  <c r="D11" i="30"/>
  <c r="E11" i="30"/>
  <c r="F11" i="30"/>
  <c r="G11" i="30"/>
  <c r="B12" i="30"/>
  <c r="C12" i="30"/>
  <c r="D12" i="30"/>
  <c r="E12" i="30"/>
  <c r="F12" i="30"/>
  <c r="G12" i="30"/>
  <c r="B13" i="30"/>
  <c r="C13" i="30"/>
  <c r="D13" i="30"/>
  <c r="E13" i="30"/>
  <c r="F13" i="30"/>
  <c r="G13" i="30"/>
  <c r="B14" i="30"/>
  <c r="C14" i="30"/>
  <c r="D14" i="30"/>
  <c r="E14" i="30"/>
  <c r="F14" i="30"/>
  <c r="G14" i="30"/>
  <c r="B15" i="30"/>
  <c r="C15" i="30"/>
  <c r="D15" i="30"/>
  <c r="E15" i="30"/>
  <c r="F15" i="30"/>
  <c r="G15" i="30"/>
  <c r="B16" i="30"/>
  <c r="C16" i="30"/>
  <c r="D16" i="30"/>
  <c r="E16" i="30"/>
  <c r="F16" i="30"/>
  <c r="G16" i="30"/>
  <c r="B17" i="30"/>
  <c r="C17" i="30"/>
  <c r="D17" i="30"/>
  <c r="E17" i="30"/>
  <c r="F17" i="30"/>
  <c r="G17" i="30"/>
  <c r="B18" i="30"/>
  <c r="C18" i="30"/>
  <c r="D18" i="30"/>
  <c r="E18" i="30"/>
  <c r="F18" i="30"/>
  <c r="G18" i="30"/>
  <c r="B19" i="30"/>
  <c r="C19" i="30"/>
  <c r="D19" i="30"/>
  <c r="E19" i="30"/>
  <c r="F19" i="30"/>
  <c r="G19" i="30"/>
  <c r="B20" i="30"/>
  <c r="C20" i="30"/>
  <c r="D20" i="30"/>
  <c r="E20" i="30"/>
  <c r="F20" i="30"/>
  <c r="G20" i="30"/>
  <c r="B21" i="30"/>
  <c r="C21" i="30"/>
  <c r="D21" i="30"/>
  <c r="E21" i="30"/>
  <c r="F21" i="30"/>
  <c r="G21" i="30"/>
  <c r="G2" i="30"/>
  <c r="F2" i="30"/>
  <c r="E2" i="30"/>
  <c r="D2" i="30"/>
  <c r="C2" i="30"/>
  <c r="B2" i="30"/>
  <c r="B3" i="29"/>
  <c r="C3" i="29"/>
  <c r="D3" i="29"/>
  <c r="E3" i="29"/>
  <c r="F3" i="29"/>
  <c r="G3" i="29"/>
  <c r="B4" i="29"/>
  <c r="C4" i="29"/>
  <c r="D4" i="29"/>
  <c r="E4" i="29"/>
  <c r="F4" i="29"/>
  <c r="G4" i="29"/>
  <c r="B5" i="29"/>
  <c r="C5" i="29"/>
  <c r="D5" i="29"/>
  <c r="E5" i="29"/>
  <c r="F5" i="29"/>
  <c r="G5" i="29"/>
  <c r="B6" i="29"/>
  <c r="C6" i="29"/>
  <c r="D6" i="29"/>
  <c r="E6" i="29"/>
  <c r="F6" i="29"/>
  <c r="G6" i="29"/>
  <c r="B7" i="29"/>
  <c r="C7" i="29"/>
  <c r="D7" i="29"/>
  <c r="E7" i="29"/>
  <c r="F7" i="29"/>
  <c r="G7" i="29"/>
  <c r="B8" i="29"/>
  <c r="C8" i="29"/>
  <c r="D8" i="29"/>
  <c r="E8" i="29"/>
  <c r="F8" i="29"/>
  <c r="G8" i="29"/>
  <c r="B9" i="29"/>
  <c r="C9" i="29"/>
  <c r="D9" i="29"/>
  <c r="E9" i="29"/>
  <c r="F9" i="29"/>
  <c r="G9" i="29"/>
  <c r="B10" i="29"/>
  <c r="C10" i="29"/>
  <c r="D10" i="29"/>
  <c r="E10" i="29"/>
  <c r="F10" i="29"/>
  <c r="G10" i="29"/>
  <c r="B11" i="29"/>
  <c r="C11" i="29"/>
  <c r="D11" i="29"/>
  <c r="E11" i="29"/>
  <c r="F11" i="29"/>
  <c r="G11" i="29"/>
  <c r="B12" i="29"/>
  <c r="C12" i="29"/>
  <c r="D12" i="29"/>
  <c r="E12" i="29"/>
  <c r="F12" i="29"/>
  <c r="G12" i="29"/>
  <c r="B13" i="29"/>
  <c r="C13" i="29"/>
  <c r="D13" i="29"/>
  <c r="E13" i="29"/>
  <c r="F13" i="29"/>
  <c r="G13" i="29"/>
  <c r="B14" i="29"/>
  <c r="C14" i="29"/>
  <c r="D14" i="29"/>
  <c r="E14" i="29"/>
  <c r="F14" i="29"/>
  <c r="G14" i="29"/>
  <c r="B15" i="29"/>
  <c r="C15" i="29"/>
  <c r="D15" i="29"/>
  <c r="E15" i="29"/>
  <c r="F15" i="29"/>
  <c r="G15" i="29"/>
  <c r="B16" i="29"/>
  <c r="C16" i="29"/>
  <c r="D16" i="29"/>
  <c r="E16" i="29"/>
  <c r="F16" i="29"/>
  <c r="G16" i="29"/>
  <c r="B17" i="29"/>
  <c r="C17" i="29"/>
  <c r="D17" i="29"/>
  <c r="E17" i="29"/>
  <c r="F17" i="29"/>
  <c r="G17" i="29"/>
  <c r="B18" i="29"/>
  <c r="C18" i="29"/>
  <c r="D18" i="29"/>
  <c r="E18" i="29"/>
  <c r="F18" i="29"/>
  <c r="G18" i="29"/>
  <c r="B19" i="29"/>
  <c r="C19" i="29"/>
  <c r="D19" i="29"/>
  <c r="E19" i="29"/>
  <c r="F19" i="29"/>
  <c r="G19" i="29"/>
  <c r="B20" i="29"/>
  <c r="C20" i="29"/>
  <c r="D20" i="29"/>
  <c r="E20" i="29"/>
  <c r="F20" i="29"/>
  <c r="G20" i="29"/>
  <c r="B21" i="29"/>
  <c r="C21" i="29"/>
  <c r="D21" i="29"/>
  <c r="E21" i="29"/>
  <c r="F21" i="29"/>
  <c r="G21" i="29"/>
  <c r="G2" i="29"/>
  <c r="F2" i="29"/>
  <c r="E2" i="29"/>
  <c r="D2" i="29"/>
  <c r="C2" i="29"/>
  <c r="B2" i="29"/>
  <c r="B3" i="28"/>
  <c r="C3" i="28"/>
  <c r="D3" i="28"/>
  <c r="E3" i="28"/>
  <c r="F3" i="28"/>
  <c r="G3" i="28"/>
  <c r="B4" i="28"/>
  <c r="C4" i="28"/>
  <c r="D4" i="28"/>
  <c r="E4" i="28"/>
  <c r="F4" i="28"/>
  <c r="G4" i="28"/>
  <c r="B5" i="28"/>
  <c r="C5" i="28"/>
  <c r="D5" i="28"/>
  <c r="E5" i="28"/>
  <c r="F5" i="28"/>
  <c r="G5" i="28"/>
  <c r="B6" i="28"/>
  <c r="C6" i="28"/>
  <c r="D6" i="28"/>
  <c r="E6" i="28"/>
  <c r="F6" i="28"/>
  <c r="G6" i="28"/>
  <c r="B7" i="28"/>
  <c r="C7" i="28"/>
  <c r="D7" i="28"/>
  <c r="E7" i="28"/>
  <c r="F7" i="28"/>
  <c r="G7" i="28"/>
  <c r="B8" i="28"/>
  <c r="C8" i="28"/>
  <c r="D8" i="28"/>
  <c r="E8" i="28"/>
  <c r="F8" i="28"/>
  <c r="G8" i="28"/>
  <c r="B9" i="28"/>
  <c r="C9" i="28"/>
  <c r="D9" i="28"/>
  <c r="E9" i="28"/>
  <c r="F9" i="28"/>
  <c r="G9" i="28"/>
  <c r="B10" i="28"/>
  <c r="C10" i="28"/>
  <c r="D10" i="28"/>
  <c r="E10" i="28"/>
  <c r="F10" i="28"/>
  <c r="G10" i="28"/>
  <c r="B11" i="28"/>
  <c r="C11" i="28"/>
  <c r="D11" i="28"/>
  <c r="E11" i="28"/>
  <c r="F11" i="28"/>
  <c r="G11" i="28"/>
  <c r="B12" i="28"/>
  <c r="C12" i="28"/>
  <c r="D12" i="28"/>
  <c r="E12" i="28"/>
  <c r="F12" i="28"/>
  <c r="G12" i="28"/>
  <c r="B13" i="28"/>
  <c r="C13" i="28"/>
  <c r="D13" i="28"/>
  <c r="E13" i="28"/>
  <c r="F13" i="28"/>
  <c r="G13" i="28"/>
  <c r="B14" i="28"/>
  <c r="C14" i="28"/>
  <c r="D14" i="28"/>
  <c r="E14" i="28"/>
  <c r="F14" i="28"/>
  <c r="G14" i="28"/>
  <c r="B15" i="28"/>
  <c r="C15" i="28"/>
  <c r="D15" i="28"/>
  <c r="E15" i="28"/>
  <c r="F15" i="28"/>
  <c r="G15" i="28"/>
  <c r="B16" i="28"/>
  <c r="C16" i="28"/>
  <c r="D16" i="28"/>
  <c r="E16" i="28"/>
  <c r="F16" i="28"/>
  <c r="G16" i="28"/>
  <c r="B17" i="28"/>
  <c r="C17" i="28"/>
  <c r="D17" i="28"/>
  <c r="E17" i="28"/>
  <c r="F17" i="28"/>
  <c r="G17" i="28"/>
  <c r="B18" i="28"/>
  <c r="C18" i="28"/>
  <c r="D18" i="28"/>
  <c r="E18" i="28"/>
  <c r="F18" i="28"/>
  <c r="G18" i="28"/>
  <c r="B19" i="28"/>
  <c r="C19" i="28"/>
  <c r="D19" i="28"/>
  <c r="E19" i="28"/>
  <c r="F19" i="28"/>
  <c r="G19" i="28"/>
  <c r="B20" i="28"/>
  <c r="C20" i="28"/>
  <c r="D20" i="28"/>
  <c r="E20" i="28"/>
  <c r="F20" i="28"/>
  <c r="G20" i="28"/>
  <c r="B21" i="28"/>
  <c r="C21" i="28"/>
  <c r="D21" i="28"/>
  <c r="E21" i="28"/>
  <c r="F21" i="28"/>
  <c r="G21" i="28"/>
  <c r="G2" i="28"/>
  <c r="F2" i="28"/>
  <c r="E2" i="28"/>
  <c r="D2" i="28"/>
  <c r="C2" i="28"/>
  <c r="B2" i="28"/>
  <c r="B3" i="27"/>
  <c r="C3" i="27"/>
  <c r="D3" i="27"/>
  <c r="E3" i="27"/>
  <c r="F3" i="27"/>
  <c r="G3" i="27"/>
  <c r="B4" i="27"/>
  <c r="C4" i="27"/>
  <c r="D4" i="27"/>
  <c r="E4" i="27"/>
  <c r="F4" i="27"/>
  <c r="G4" i="27"/>
  <c r="B5" i="27"/>
  <c r="C5" i="27"/>
  <c r="D5" i="27"/>
  <c r="E5" i="27"/>
  <c r="F5" i="27"/>
  <c r="G5" i="27"/>
  <c r="B6" i="27"/>
  <c r="C6" i="27"/>
  <c r="D6" i="27"/>
  <c r="E6" i="27"/>
  <c r="F6" i="27"/>
  <c r="G6" i="27"/>
  <c r="B7" i="27"/>
  <c r="C7" i="27"/>
  <c r="D7" i="27"/>
  <c r="E7" i="27"/>
  <c r="F7" i="27"/>
  <c r="G7" i="27"/>
  <c r="B8" i="27"/>
  <c r="C8" i="27"/>
  <c r="D8" i="27"/>
  <c r="E8" i="27"/>
  <c r="F8" i="27"/>
  <c r="G8" i="27"/>
  <c r="B9" i="27"/>
  <c r="C9" i="27"/>
  <c r="D9" i="27"/>
  <c r="E9" i="27"/>
  <c r="F9" i="27"/>
  <c r="G9" i="27"/>
  <c r="B10" i="27"/>
  <c r="C10" i="27"/>
  <c r="D10" i="27"/>
  <c r="E10" i="27"/>
  <c r="F10" i="27"/>
  <c r="G10" i="27"/>
  <c r="B11" i="27"/>
  <c r="C11" i="27"/>
  <c r="D11" i="27"/>
  <c r="E11" i="27"/>
  <c r="F11" i="27"/>
  <c r="G11" i="27"/>
  <c r="B12" i="27"/>
  <c r="C12" i="27"/>
  <c r="D12" i="27"/>
  <c r="E12" i="27"/>
  <c r="F12" i="27"/>
  <c r="G12" i="27"/>
  <c r="B13" i="27"/>
  <c r="C13" i="27"/>
  <c r="D13" i="27"/>
  <c r="E13" i="27"/>
  <c r="F13" i="27"/>
  <c r="G13" i="27"/>
  <c r="B14" i="27"/>
  <c r="C14" i="27"/>
  <c r="D14" i="27"/>
  <c r="E14" i="27"/>
  <c r="F14" i="27"/>
  <c r="G14" i="27"/>
  <c r="B15" i="27"/>
  <c r="C15" i="27"/>
  <c r="D15" i="27"/>
  <c r="E15" i="27"/>
  <c r="F15" i="27"/>
  <c r="G15" i="27"/>
  <c r="B16" i="27"/>
  <c r="C16" i="27"/>
  <c r="D16" i="27"/>
  <c r="E16" i="27"/>
  <c r="F16" i="27"/>
  <c r="G16" i="27"/>
  <c r="B17" i="27"/>
  <c r="C17" i="27"/>
  <c r="D17" i="27"/>
  <c r="E17" i="27"/>
  <c r="F17" i="27"/>
  <c r="G17" i="27"/>
  <c r="B18" i="27"/>
  <c r="C18" i="27"/>
  <c r="D18" i="27"/>
  <c r="E18" i="27"/>
  <c r="F18" i="27"/>
  <c r="G18" i="27"/>
  <c r="B19" i="27"/>
  <c r="C19" i="27"/>
  <c r="D19" i="27"/>
  <c r="E19" i="27"/>
  <c r="F19" i="27"/>
  <c r="G19" i="27"/>
  <c r="B20" i="27"/>
  <c r="C20" i="27"/>
  <c r="D20" i="27"/>
  <c r="E20" i="27"/>
  <c r="F20" i="27"/>
  <c r="G20" i="27"/>
  <c r="B21" i="27"/>
  <c r="C21" i="27"/>
  <c r="D21" i="27"/>
  <c r="E21" i="27"/>
  <c r="F21" i="27"/>
  <c r="G21" i="27"/>
  <c r="G2" i="27"/>
  <c r="F2" i="27"/>
  <c r="E2" i="27"/>
  <c r="D2" i="27"/>
  <c r="C2" i="27"/>
  <c r="B2" i="27"/>
  <c r="B3" i="26"/>
  <c r="C3" i="26"/>
  <c r="D3" i="26"/>
  <c r="E3" i="26"/>
  <c r="F3" i="26"/>
  <c r="G3" i="26"/>
  <c r="B4" i="26"/>
  <c r="C4" i="26"/>
  <c r="D4" i="26"/>
  <c r="E4" i="26"/>
  <c r="F4" i="26"/>
  <c r="G4" i="26"/>
  <c r="B5" i="26"/>
  <c r="C5" i="26"/>
  <c r="D5" i="26"/>
  <c r="E5" i="26"/>
  <c r="F5" i="26"/>
  <c r="G5" i="26"/>
  <c r="B6" i="26"/>
  <c r="C6" i="26"/>
  <c r="D6" i="26"/>
  <c r="E6" i="26"/>
  <c r="F6" i="26"/>
  <c r="G6" i="26"/>
  <c r="B7" i="26"/>
  <c r="C7" i="26"/>
  <c r="D7" i="26"/>
  <c r="E7" i="26"/>
  <c r="F7" i="26"/>
  <c r="G7" i="26"/>
  <c r="B8" i="26"/>
  <c r="C8" i="26"/>
  <c r="D8" i="26"/>
  <c r="E8" i="26"/>
  <c r="F8" i="26"/>
  <c r="G8" i="26"/>
  <c r="B9" i="26"/>
  <c r="C9" i="26"/>
  <c r="D9" i="26"/>
  <c r="E9" i="26"/>
  <c r="F9" i="26"/>
  <c r="G9" i="26"/>
  <c r="B10" i="26"/>
  <c r="C10" i="26"/>
  <c r="D10" i="26"/>
  <c r="E10" i="26"/>
  <c r="F10" i="26"/>
  <c r="G10" i="26"/>
  <c r="B11" i="26"/>
  <c r="C11" i="26"/>
  <c r="D11" i="26"/>
  <c r="E11" i="26"/>
  <c r="F11" i="26"/>
  <c r="G11" i="26"/>
  <c r="B12" i="26"/>
  <c r="C12" i="26"/>
  <c r="D12" i="26"/>
  <c r="E12" i="26"/>
  <c r="F12" i="26"/>
  <c r="G12" i="26"/>
  <c r="B13" i="26"/>
  <c r="C13" i="26"/>
  <c r="D13" i="26"/>
  <c r="E13" i="26"/>
  <c r="F13" i="26"/>
  <c r="G13" i="26"/>
  <c r="B14" i="26"/>
  <c r="C14" i="26"/>
  <c r="D14" i="26"/>
  <c r="E14" i="26"/>
  <c r="F14" i="26"/>
  <c r="G14" i="26"/>
  <c r="B15" i="26"/>
  <c r="C15" i="26"/>
  <c r="D15" i="26"/>
  <c r="E15" i="26"/>
  <c r="F15" i="26"/>
  <c r="G15" i="26"/>
  <c r="B16" i="26"/>
  <c r="C16" i="26"/>
  <c r="D16" i="26"/>
  <c r="E16" i="26"/>
  <c r="F16" i="26"/>
  <c r="G16" i="26"/>
  <c r="B17" i="26"/>
  <c r="C17" i="26"/>
  <c r="D17" i="26"/>
  <c r="E17" i="26"/>
  <c r="F17" i="26"/>
  <c r="G17" i="26"/>
  <c r="B18" i="26"/>
  <c r="C18" i="26"/>
  <c r="D18" i="26"/>
  <c r="E18" i="26"/>
  <c r="F18" i="26"/>
  <c r="G18" i="26"/>
  <c r="B19" i="26"/>
  <c r="C19" i="26"/>
  <c r="D19" i="26"/>
  <c r="E19" i="26"/>
  <c r="F19" i="26"/>
  <c r="G19" i="26"/>
  <c r="B20" i="26"/>
  <c r="C20" i="26"/>
  <c r="D20" i="26"/>
  <c r="E20" i="26"/>
  <c r="F20" i="26"/>
  <c r="G20" i="26"/>
  <c r="B21" i="26"/>
  <c r="C21" i="26"/>
  <c r="D21" i="26"/>
  <c r="E21" i="26"/>
  <c r="F21" i="26"/>
  <c r="G21" i="26"/>
  <c r="G2" i="26"/>
  <c r="F2" i="26"/>
  <c r="E2" i="26"/>
  <c r="D2" i="26"/>
  <c r="C2" i="26"/>
  <c r="B2" i="26"/>
  <c r="B3" i="25"/>
  <c r="C3" i="25"/>
  <c r="D3" i="25"/>
  <c r="E3" i="25"/>
  <c r="F3" i="25"/>
  <c r="G3" i="25"/>
  <c r="B4" i="25"/>
  <c r="C4" i="25"/>
  <c r="D4" i="25"/>
  <c r="E4" i="25"/>
  <c r="F4" i="25"/>
  <c r="G4" i="25"/>
  <c r="B5" i="25"/>
  <c r="C5" i="25"/>
  <c r="D5" i="25"/>
  <c r="E5" i="25"/>
  <c r="F5" i="25"/>
  <c r="G5" i="25"/>
  <c r="B6" i="25"/>
  <c r="C6" i="25"/>
  <c r="D6" i="25"/>
  <c r="E6" i="25"/>
  <c r="F6" i="25"/>
  <c r="G6" i="25"/>
  <c r="B7" i="25"/>
  <c r="C7" i="25"/>
  <c r="D7" i="25"/>
  <c r="E7" i="25"/>
  <c r="F7" i="25"/>
  <c r="G7" i="25"/>
  <c r="B8" i="25"/>
  <c r="C8" i="25"/>
  <c r="D8" i="25"/>
  <c r="E8" i="25"/>
  <c r="F8" i="25"/>
  <c r="G8" i="25"/>
  <c r="B9" i="25"/>
  <c r="C9" i="25"/>
  <c r="D9" i="25"/>
  <c r="E9" i="25"/>
  <c r="F9" i="25"/>
  <c r="G9" i="25"/>
  <c r="B10" i="25"/>
  <c r="C10" i="25"/>
  <c r="D10" i="25"/>
  <c r="E10" i="25"/>
  <c r="F10" i="25"/>
  <c r="G10" i="25"/>
  <c r="B11" i="25"/>
  <c r="C11" i="25"/>
  <c r="D11" i="25"/>
  <c r="E11" i="25"/>
  <c r="F11" i="25"/>
  <c r="G11" i="25"/>
  <c r="B12" i="25"/>
  <c r="C12" i="25"/>
  <c r="D12" i="25"/>
  <c r="E12" i="25"/>
  <c r="F12" i="25"/>
  <c r="G12" i="25"/>
  <c r="B13" i="25"/>
  <c r="C13" i="25"/>
  <c r="D13" i="25"/>
  <c r="E13" i="25"/>
  <c r="F13" i="25"/>
  <c r="G13" i="25"/>
  <c r="B14" i="25"/>
  <c r="C14" i="25"/>
  <c r="D14" i="25"/>
  <c r="E14" i="25"/>
  <c r="F14" i="25"/>
  <c r="G14" i="25"/>
  <c r="B15" i="25"/>
  <c r="C15" i="25"/>
  <c r="D15" i="25"/>
  <c r="E15" i="25"/>
  <c r="F15" i="25"/>
  <c r="G15" i="25"/>
  <c r="B16" i="25"/>
  <c r="C16" i="25"/>
  <c r="D16" i="25"/>
  <c r="E16" i="25"/>
  <c r="F16" i="25"/>
  <c r="G16" i="25"/>
  <c r="B17" i="25"/>
  <c r="C17" i="25"/>
  <c r="D17" i="25"/>
  <c r="E17" i="25"/>
  <c r="F17" i="25"/>
  <c r="G17" i="25"/>
  <c r="B18" i="25"/>
  <c r="C18" i="25"/>
  <c r="D18" i="25"/>
  <c r="E18" i="25"/>
  <c r="F18" i="25"/>
  <c r="G18" i="25"/>
  <c r="B19" i="25"/>
  <c r="C19" i="25"/>
  <c r="D19" i="25"/>
  <c r="E19" i="25"/>
  <c r="F19" i="25"/>
  <c r="G19" i="25"/>
  <c r="B20" i="25"/>
  <c r="C20" i="25"/>
  <c r="D20" i="25"/>
  <c r="E20" i="25"/>
  <c r="F20" i="25"/>
  <c r="G20" i="25"/>
  <c r="B21" i="25"/>
  <c r="C21" i="25"/>
  <c r="D21" i="25"/>
  <c r="E21" i="25"/>
  <c r="F21" i="25"/>
  <c r="G21" i="25"/>
  <c r="G2" i="25"/>
  <c r="F2" i="25"/>
  <c r="E2" i="25"/>
  <c r="D2" i="25"/>
  <c r="C2" i="25"/>
  <c r="B2" i="25"/>
  <c r="B3" i="24"/>
  <c r="C3" i="24"/>
  <c r="D3" i="24"/>
  <c r="E3" i="24"/>
  <c r="F3" i="24"/>
  <c r="G3" i="24"/>
  <c r="B4" i="24"/>
  <c r="C4" i="24"/>
  <c r="D4" i="24"/>
  <c r="E4" i="24"/>
  <c r="F4" i="24"/>
  <c r="G4" i="24"/>
  <c r="B5" i="24"/>
  <c r="C5" i="24"/>
  <c r="D5" i="24"/>
  <c r="E5" i="24"/>
  <c r="F5" i="24"/>
  <c r="G5" i="24"/>
  <c r="B6" i="24"/>
  <c r="C6" i="24"/>
  <c r="D6" i="24"/>
  <c r="E6" i="24"/>
  <c r="F6" i="24"/>
  <c r="G6" i="24"/>
  <c r="B7" i="24"/>
  <c r="C7" i="24"/>
  <c r="D7" i="24"/>
  <c r="E7" i="24"/>
  <c r="F7" i="24"/>
  <c r="G7" i="24"/>
  <c r="B8" i="24"/>
  <c r="C8" i="24"/>
  <c r="D8" i="24"/>
  <c r="E8" i="24"/>
  <c r="F8" i="24"/>
  <c r="G8" i="24"/>
  <c r="B9" i="24"/>
  <c r="C9" i="24"/>
  <c r="D9" i="24"/>
  <c r="E9" i="24"/>
  <c r="F9" i="24"/>
  <c r="G9" i="24"/>
  <c r="B10" i="24"/>
  <c r="C10" i="24"/>
  <c r="D10" i="24"/>
  <c r="E10" i="24"/>
  <c r="F10" i="24"/>
  <c r="G10" i="24"/>
  <c r="B11" i="24"/>
  <c r="C11" i="24"/>
  <c r="D11" i="24"/>
  <c r="E11" i="24"/>
  <c r="F11" i="24"/>
  <c r="G11" i="24"/>
  <c r="B12" i="24"/>
  <c r="C12" i="24"/>
  <c r="D12" i="24"/>
  <c r="E12" i="24"/>
  <c r="F12" i="24"/>
  <c r="G12" i="24"/>
  <c r="B13" i="24"/>
  <c r="C13" i="24"/>
  <c r="D13" i="24"/>
  <c r="E13" i="24"/>
  <c r="F13" i="24"/>
  <c r="G13" i="24"/>
  <c r="B14" i="24"/>
  <c r="C14" i="24"/>
  <c r="D14" i="24"/>
  <c r="E14" i="24"/>
  <c r="F14" i="24"/>
  <c r="G14" i="24"/>
  <c r="B15" i="24"/>
  <c r="C15" i="24"/>
  <c r="D15" i="24"/>
  <c r="E15" i="24"/>
  <c r="F15" i="24"/>
  <c r="G15" i="24"/>
  <c r="B16" i="24"/>
  <c r="C16" i="24"/>
  <c r="D16" i="24"/>
  <c r="E16" i="24"/>
  <c r="F16" i="24"/>
  <c r="G16" i="24"/>
  <c r="B17" i="24"/>
  <c r="C17" i="24"/>
  <c r="D17" i="24"/>
  <c r="E17" i="24"/>
  <c r="F17" i="24"/>
  <c r="G17" i="24"/>
  <c r="B18" i="24"/>
  <c r="C18" i="24"/>
  <c r="D18" i="24"/>
  <c r="E18" i="24"/>
  <c r="F18" i="24"/>
  <c r="G18" i="24"/>
  <c r="B19" i="24"/>
  <c r="C19" i="24"/>
  <c r="D19" i="24"/>
  <c r="E19" i="24"/>
  <c r="F19" i="24"/>
  <c r="G19" i="24"/>
  <c r="B20" i="24"/>
  <c r="C20" i="24"/>
  <c r="D20" i="24"/>
  <c r="E20" i="24"/>
  <c r="F20" i="24"/>
  <c r="G20" i="24"/>
  <c r="B21" i="24"/>
  <c r="C21" i="24"/>
  <c r="D21" i="24"/>
  <c r="E21" i="24"/>
  <c r="F21" i="24"/>
  <c r="G21" i="24"/>
  <c r="G2" i="24"/>
  <c r="F2" i="24"/>
  <c r="E2" i="24"/>
  <c r="D2" i="24"/>
  <c r="C2" i="24"/>
  <c r="B2" i="24"/>
  <c r="B3" i="23"/>
  <c r="C3" i="23"/>
  <c r="D3" i="23"/>
  <c r="E3" i="23"/>
  <c r="F3" i="23"/>
  <c r="G3" i="23"/>
  <c r="B4" i="23"/>
  <c r="C4" i="23"/>
  <c r="D4" i="23"/>
  <c r="E4" i="23"/>
  <c r="F4" i="23"/>
  <c r="G4" i="23"/>
  <c r="B5" i="23"/>
  <c r="C5" i="23"/>
  <c r="D5" i="23"/>
  <c r="E5" i="23"/>
  <c r="F5" i="23"/>
  <c r="G5" i="23"/>
  <c r="B6" i="23"/>
  <c r="C6" i="23"/>
  <c r="D6" i="23"/>
  <c r="E6" i="23"/>
  <c r="F6" i="23"/>
  <c r="G6" i="23"/>
  <c r="B7" i="23"/>
  <c r="C7" i="23"/>
  <c r="D7" i="23"/>
  <c r="E7" i="23"/>
  <c r="F7" i="23"/>
  <c r="G7" i="23"/>
  <c r="B8" i="23"/>
  <c r="C8" i="23"/>
  <c r="D8" i="23"/>
  <c r="E8" i="23"/>
  <c r="F8" i="23"/>
  <c r="G8" i="23"/>
  <c r="B9" i="23"/>
  <c r="C9" i="23"/>
  <c r="D9" i="23"/>
  <c r="E9" i="23"/>
  <c r="F9" i="23"/>
  <c r="G9" i="23"/>
  <c r="B10" i="23"/>
  <c r="C10" i="23"/>
  <c r="D10" i="23"/>
  <c r="E10" i="23"/>
  <c r="F10" i="23"/>
  <c r="G10" i="23"/>
  <c r="B11" i="23"/>
  <c r="C11" i="23"/>
  <c r="D11" i="23"/>
  <c r="E11" i="23"/>
  <c r="F11" i="23"/>
  <c r="G11" i="23"/>
  <c r="B12" i="23"/>
  <c r="C12" i="23"/>
  <c r="D12" i="23"/>
  <c r="E12" i="23"/>
  <c r="F12" i="23"/>
  <c r="G12" i="23"/>
  <c r="B13" i="23"/>
  <c r="C13" i="23"/>
  <c r="D13" i="23"/>
  <c r="E13" i="23"/>
  <c r="F13" i="23"/>
  <c r="G13" i="23"/>
  <c r="B14" i="23"/>
  <c r="C14" i="23"/>
  <c r="D14" i="23"/>
  <c r="E14" i="23"/>
  <c r="F14" i="23"/>
  <c r="G14" i="23"/>
  <c r="B15" i="23"/>
  <c r="C15" i="23"/>
  <c r="D15" i="23"/>
  <c r="E15" i="23"/>
  <c r="F15" i="23"/>
  <c r="G15" i="23"/>
  <c r="B16" i="23"/>
  <c r="C16" i="23"/>
  <c r="D16" i="23"/>
  <c r="E16" i="23"/>
  <c r="F16" i="23"/>
  <c r="G16" i="23"/>
  <c r="B17" i="23"/>
  <c r="C17" i="23"/>
  <c r="D17" i="23"/>
  <c r="E17" i="23"/>
  <c r="F17" i="23"/>
  <c r="G17" i="23"/>
  <c r="B18" i="23"/>
  <c r="C18" i="23"/>
  <c r="D18" i="23"/>
  <c r="E18" i="23"/>
  <c r="F18" i="23"/>
  <c r="G18" i="23"/>
  <c r="B19" i="23"/>
  <c r="C19" i="23"/>
  <c r="D19" i="23"/>
  <c r="E19" i="23"/>
  <c r="F19" i="23"/>
  <c r="G19" i="23"/>
  <c r="B20" i="23"/>
  <c r="C20" i="23"/>
  <c r="D20" i="23"/>
  <c r="E20" i="23"/>
  <c r="F20" i="23"/>
  <c r="G20" i="23"/>
  <c r="B21" i="23"/>
  <c r="C21" i="23"/>
  <c r="D21" i="23"/>
  <c r="E21" i="23"/>
  <c r="F21" i="23"/>
  <c r="G21" i="23"/>
  <c r="G2" i="23"/>
  <c r="F2" i="23"/>
  <c r="E2" i="23"/>
  <c r="D2" i="23"/>
  <c r="C2" i="23"/>
  <c r="B2" i="23"/>
  <c r="B3" i="22"/>
  <c r="C3" i="22"/>
  <c r="D3" i="22"/>
  <c r="E3" i="22"/>
  <c r="F3" i="22"/>
  <c r="G3" i="22"/>
  <c r="B4" i="22"/>
  <c r="C4" i="22"/>
  <c r="D4" i="22"/>
  <c r="E4" i="22"/>
  <c r="F4" i="22"/>
  <c r="G4" i="22"/>
  <c r="B5" i="22"/>
  <c r="C5" i="22"/>
  <c r="D5" i="22"/>
  <c r="E5" i="22"/>
  <c r="F5" i="22"/>
  <c r="G5" i="22"/>
  <c r="B6" i="22"/>
  <c r="C6" i="22"/>
  <c r="D6" i="22"/>
  <c r="E6" i="22"/>
  <c r="F6" i="22"/>
  <c r="G6" i="22"/>
  <c r="B7" i="22"/>
  <c r="C7" i="22"/>
  <c r="D7" i="22"/>
  <c r="E7" i="22"/>
  <c r="F7" i="22"/>
  <c r="G7" i="22"/>
  <c r="B8" i="22"/>
  <c r="C8" i="22"/>
  <c r="D8" i="22"/>
  <c r="E8" i="22"/>
  <c r="F8" i="22"/>
  <c r="G8" i="22"/>
  <c r="B9" i="22"/>
  <c r="C9" i="22"/>
  <c r="D9" i="22"/>
  <c r="E9" i="22"/>
  <c r="F9" i="22"/>
  <c r="G9" i="22"/>
  <c r="B10" i="22"/>
  <c r="C10" i="22"/>
  <c r="D10" i="22"/>
  <c r="E10" i="22"/>
  <c r="F10" i="22"/>
  <c r="G10" i="22"/>
  <c r="B11" i="22"/>
  <c r="C11" i="22"/>
  <c r="D11" i="22"/>
  <c r="E11" i="22"/>
  <c r="F11" i="22"/>
  <c r="G11" i="22"/>
  <c r="B12" i="22"/>
  <c r="C12" i="22"/>
  <c r="D12" i="22"/>
  <c r="E12" i="22"/>
  <c r="F12" i="22"/>
  <c r="G12" i="22"/>
  <c r="B13" i="22"/>
  <c r="C13" i="22"/>
  <c r="D13" i="22"/>
  <c r="E13" i="22"/>
  <c r="F13" i="22"/>
  <c r="G13" i="22"/>
  <c r="B14" i="22"/>
  <c r="C14" i="22"/>
  <c r="D14" i="22"/>
  <c r="E14" i="22"/>
  <c r="F14" i="22"/>
  <c r="G14" i="22"/>
  <c r="B15" i="22"/>
  <c r="C15" i="22"/>
  <c r="D15" i="22"/>
  <c r="E15" i="22"/>
  <c r="F15" i="22"/>
  <c r="G15" i="22"/>
  <c r="B16" i="22"/>
  <c r="C16" i="22"/>
  <c r="D16" i="22"/>
  <c r="E16" i="22"/>
  <c r="F16" i="22"/>
  <c r="G16" i="22"/>
  <c r="B17" i="22"/>
  <c r="C17" i="22"/>
  <c r="D17" i="22"/>
  <c r="E17" i="22"/>
  <c r="F17" i="22"/>
  <c r="G17" i="22"/>
  <c r="B18" i="22"/>
  <c r="C18" i="22"/>
  <c r="D18" i="22"/>
  <c r="E18" i="22"/>
  <c r="F18" i="22"/>
  <c r="G18" i="22"/>
  <c r="B19" i="22"/>
  <c r="C19" i="22"/>
  <c r="D19" i="22"/>
  <c r="E19" i="22"/>
  <c r="F19" i="22"/>
  <c r="G19" i="22"/>
  <c r="B20" i="22"/>
  <c r="C20" i="22"/>
  <c r="D20" i="22"/>
  <c r="E20" i="22"/>
  <c r="F20" i="22"/>
  <c r="G20" i="22"/>
  <c r="B21" i="22"/>
  <c r="C21" i="22"/>
  <c r="D21" i="22"/>
  <c r="E21" i="22"/>
  <c r="F21" i="22"/>
  <c r="G21" i="22"/>
  <c r="G2" i="22"/>
  <c r="F2" i="22"/>
  <c r="E2" i="22"/>
  <c r="D2" i="22"/>
  <c r="C2" i="22"/>
  <c r="B2" i="22"/>
  <c r="B3" i="21"/>
  <c r="C3" i="21"/>
  <c r="D3" i="21"/>
  <c r="E3" i="21"/>
  <c r="F3" i="21"/>
  <c r="G3" i="21"/>
  <c r="B4" i="21"/>
  <c r="C4" i="21"/>
  <c r="D4" i="21"/>
  <c r="E4" i="21"/>
  <c r="F4" i="21"/>
  <c r="G4" i="21"/>
  <c r="B5" i="21"/>
  <c r="C5" i="21"/>
  <c r="D5" i="21"/>
  <c r="E5" i="21"/>
  <c r="F5" i="21"/>
  <c r="G5" i="21"/>
  <c r="B6" i="21"/>
  <c r="C6" i="21"/>
  <c r="D6" i="21"/>
  <c r="E6" i="21"/>
  <c r="F6" i="21"/>
  <c r="G6" i="21"/>
  <c r="B7" i="21"/>
  <c r="C7" i="21"/>
  <c r="D7" i="21"/>
  <c r="E7" i="21"/>
  <c r="F7" i="21"/>
  <c r="G7" i="21"/>
  <c r="B8" i="21"/>
  <c r="C8" i="21"/>
  <c r="D8" i="21"/>
  <c r="E8" i="21"/>
  <c r="F8" i="21"/>
  <c r="G8" i="21"/>
  <c r="B9" i="21"/>
  <c r="C9" i="21"/>
  <c r="D9" i="21"/>
  <c r="E9" i="21"/>
  <c r="F9" i="21"/>
  <c r="G9" i="21"/>
  <c r="B10" i="21"/>
  <c r="C10" i="21"/>
  <c r="D10" i="21"/>
  <c r="E10" i="21"/>
  <c r="F10" i="21"/>
  <c r="G10" i="21"/>
  <c r="B11" i="21"/>
  <c r="C11" i="21"/>
  <c r="D11" i="21"/>
  <c r="E11" i="21"/>
  <c r="F11" i="21"/>
  <c r="G11" i="21"/>
  <c r="B12" i="21"/>
  <c r="C12" i="21"/>
  <c r="D12" i="21"/>
  <c r="E12" i="21"/>
  <c r="F12" i="21"/>
  <c r="G12" i="21"/>
  <c r="B13" i="21"/>
  <c r="C13" i="21"/>
  <c r="D13" i="21"/>
  <c r="E13" i="21"/>
  <c r="F13" i="21"/>
  <c r="G13" i="21"/>
  <c r="B14" i="21"/>
  <c r="C14" i="21"/>
  <c r="D14" i="21"/>
  <c r="E14" i="21"/>
  <c r="F14" i="21"/>
  <c r="G14" i="21"/>
  <c r="B15" i="21"/>
  <c r="C15" i="21"/>
  <c r="D15" i="21"/>
  <c r="E15" i="21"/>
  <c r="F15" i="21"/>
  <c r="G15" i="21"/>
  <c r="B16" i="21"/>
  <c r="C16" i="21"/>
  <c r="D16" i="21"/>
  <c r="E16" i="21"/>
  <c r="F16" i="21"/>
  <c r="G16" i="21"/>
  <c r="B17" i="21"/>
  <c r="C17" i="21"/>
  <c r="D17" i="21"/>
  <c r="E17" i="21"/>
  <c r="F17" i="21"/>
  <c r="G17" i="21"/>
  <c r="B18" i="21"/>
  <c r="C18" i="21"/>
  <c r="D18" i="21"/>
  <c r="E18" i="21"/>
  <c r="F18" i="21"/>
  <c r="G18" i="21"/>
  <c r="B19" i="21"/>
  <c r="C19" i="21"/>
  <c r="D19" i="21"/>
  <c r="E19" i="21"/>
  <c r="F19" i="21"/>
  <c r="G19" i="21"/>
  <c r="B20" i="21"/>
  <c r="C20" i="21"/>
  <c r="D20" i="21"/>
  <c r="E20" i="21"/>
  <c r="F20" i="21"/>
  <c r="G20" i="21"/>
  <c r="B21" i="21"/>
  <c r="C21" i="21"/>
  <c r="D21" i="21"/>
  <c r="E21" i="21"/>
  <c r="F21" i="21"/>
  <c r="G21" i="21"/>
  <c r="G2" i="21"/>
  <c r="F2" i="21"/>
  <c r="E2" i="21"/>
  <c r="D2" i="21"/>
  <c r="C2" i="21"/>
  <c r="B2" i="21"/>
  <c r="B3" i="20"/>
  <c r="C3" i="20"/>
  <c r="D3" i="20"/>
  <c r="E3" i="20"/>
  <c r="F3" i="20"/>
  <c r="G3" i="20"/>
  <c r="B4" i="20"/>
  <c r="C4" i="20"/>
  <c r="D4" i="20"/>
  <c r="E4" i="20"/>
  <c r="F4" i="20"/>
  <c r="G4" i="20"/>
  <c r="B5" i="20"/>
  <c r="C5" i="20"/>
  <c r="D5" i="20"/>
  <c r="E5" i="20"/>
  <c r="F5" i="20"/>
  <c r="G5" i="20"/>
  <c r="B6" i="20"/>
  <c r="C6" i="20"/>
  <c r="D6" i="20"/>
  <c r="E6" i="20"/>
  <c r="F6" i="20"/>
  <c r="G6" i="20"/>
  <c r="B7" i="20"/>
  <c r="C7" i="20"/>
  <c r="D7" i="20"/>
  <c r="E7" i="20"/>
  <c r="F7" i="20"/>
  <c r="G7" i="20"/>
  <c r="B8" i="20"/>
  <c r="C8" i="20"/>
  <c r="D8" i="20"/>
  <c r="E8" i="20"/>
  <c r="F8" i="20"/>
  <c r="G8" i="20"/>
  <c r="B9" i="20"/>
  <c r="C9" i="20"/>
  <c r="D9" i="20"/>
  <c r="E9" i="20"/>
  <c r="F9" i="20"/>
  <c r="G9" i="20"/>
  <c r="B10" i="20"/>
  <c r="C10" i="20"/>
  <c r="D10" i="20"/>
  <c r="E10" i="20"/>
  <c r="F10" i="20"/>
  <c r="G10" i="20"/>
  <c r="B11" i="20"/>
  <c r="C11" i="20"/>
  <c r="D11" i="20"/>
  <c r="E11" i="20"/>
  <c r="F11" i="20"/>
  <c r="G11" i="20"/>
  <c r="B12" i="20"/>
  <c r="C12" i="20"/>
  <c r="D12" i="20"/>
  <c r="E12" i="20"/>
  <c r="F12" i="20"/>
  <c r="G12" i="20"/>
  <c r="B13" i="20"/>
  <c r="C13" i="20"/>
  <c r="D13" i="20"/>
  <c r="E13" i="20"/>
  <c r="F13" i="20"/>
  <c r="G13" i="20"/>
  <c r="B14" i="20"/>
  <c r="C14" i="20"/>
  <c r="D14" i="20"/>
  <c r="E14" i="20"/>
  <c r="F14" i="20"/>
  <c r="G14" i="20"/>
  <c r="B15" i="20"/>
  <c r="C15" i="20"/>
  <c r="D15" i="20"/>
  <c r="E15" i="20"/>
  <c r="F15" i="20"/>
  <c r="G15" i="20"/>
  <c r="B16" i="20"/>
  <c r="C16" i="20"/>
  <c r="D16" i="20"/>
  <c r="E16" i="20"/>
  <c r="F16" i="20"/>
  <c r="G16" i="20"/>
  <c r="B17" i="20"/>
  <c r="C17" i="20"/>
  <c r="D17" i="20"/>
  <c r="E17" i="20"/>
  <c r="F17" i="20"/>
  <c r="G17" i="20"/>
  <c r="B18" i="20"/>
  <c r="C18" i="20"/>
  <c r="D18" i="20"/>
  <c r="E18" i="20"/>
  <c r="F18" i="20"/>
  <c r="G18" i="20"/>
  <c r="B19" i="20"/>
  <c r="C19" i="20"/>
  <c r="D19" i="20"/>
  <c r="E19" i="20"/>
  <c r="F19" i="20"/>
  <c r="G19" i="20"/>
  <c r="B20" i="20"/>
  <c r="C20" i="20"/>
  <c r="D20" i="20"/>
  <c r="E20" i="20"/>
  <c r="F20" i="20"/>
  <c r="G20" i="20"/>
  <c r="B21" i="20"/>
  <c r="C21" i="20"/>
  <c r="D21" i="20"/>
  <c r="E21" i="20"/>
  <c r="F21" i="20"/>
  <c r="G21" i="20"/>
  <c r="G2" i="20"/>
  <c r="F2" i="20"/>
  <c r="E2" i="20"/>
  <c r="D2" i="20"/>
  <c r="C2" i="20"/>
  <c r="B2" i="20"/>
  <c r="B3" i="19"/>
  <c r="C3" i="19"/>
  <c r="D3" i="19"/>
  <c r="E3" i="19"/>
  <c r="F3" i="19"/>
  <c r="G3" i="19"/>
  <c r="B4" i="19"/>
  <c r="C4" i="19"/>
  <c r="D4" i="19"/>
  <c r="E4" i="19"/>
  <c r="F4" i="19"/>
  <c r="G4" i="19"/>
  <c r="B5" i="19"/>
  <c r="C5" i="19"/>
  <c r="D5" i="19"/>
  <c r="E5" i="19"/>
  <c r="F5" i="19"/>
  <c r="G5" i="19"/>
  <c r="B6" i="19"/>
  <c r="C6" i="19"/>
  <c r="D6" i="19"/>
  <c r="E6" i="19"/>
  <c r="F6" i="19"/>
  <c r="G6" i="19"/>
  <c r="B7" i="19"/>
  <c r="C7" i="19"/>
  <c r="D7" i="19"/>
  <c r="E7" i="19"/>
  <c r="F7" i="19"/>
  <c r="G7" i="19"/>
  <c r="B8" i="19"/>
  <c r="C8" i="19"/>
  <c r="D8" i="19"/>
  <c r="E8" i="19"/>
  <c r="F8" i="19"/>
  <c r="G8" i="19"/>
  <c r="B9" i="19"/>
  <c r="C9" i="19"/>
  <c r="D9" i="19"/>
  <c r="E9" i="19"/>
  <c r="F9" i="19"/>
  <c r="G9" i="19"/>
  <c r="B10" i="19"/>
  <c r="C10" i="19"/>
  <c r="D10" i="19"/>
  <c r="E10" i="19"/>
  <c r="F10" i="19"/>
  <c r="G10" i="19"/>
  <c r="B11" i="19"/>
  <c r="C11" i="19"/>
  <c r="D11" i="19"/>
  <c r="E11" i="19"/>
  <c r="F11" i="19"/>
  <c r="G11" i="19"/>
  <c r="B12" i="19"/>
  <c r="C12" i="19"/>
  <c r="D12" i="19"/>
  <c r="E12" i="19"/>
  <c r="F12" i="19"/>
  <c r="G12" i="19"/>
  <c r="B13" i="19"/>
  <c r="C13" i="19"/>
  <c r="D13" i="19"/>
  <c r="E13" i="19"/>
  <c r="F13" i="19"/>
  <c r="G13" i="19"/>
  <c r="B14" i="19"/>
  <c r="C14" i="19"/>
  <c r="D14" i="19"/>
  <c r="E14" i="19"/>
  <c r="F14" i="19"/>
  <c r="G14" i="19"/>
  <c r="B15" i="19"/>
  <c r="C15" i="19"/>
  <c r="D15" i="19"/>
  <c r="E15" i="19"/>
  <c r="F15" i="19"/>
  <c r="G15" i="19"/>
  <c r="B16" i="19"/>
  <c r="C16" i="19"/>
  <c r="D16" i="19"/>
  <c r="E16" i="19"/>
  <c r="F16" i="19"/>
  <c r="G16" i="19"/>
  <c r="B17" i="19"/>
  <c r="C17" i="19"/>
  <c r="D17" i="19"/>
  <c r="E17" i="19"/>
  <c r="F17" i="19"/>
  <c r="G17" i="19"/>
  <c r="B18" i="19"/>
  <c r="C18" i="19"/>
  <c r="D18" i="19"/>
  <c r="E18" i="19"/>
  <c r="F18" i="19"/>
  <c r="G18" i="19"/>
  <c r="B19" i="19"/>
  <c r="C19" i="19"/>
  <c r="D19" i="19"/>
  <c r="E19" i="19"/>
  <c r="F19" i="19"/>
  <c r="G19" i="19"/>
  <c r="B20" i="19"/>
  <c r="C20" i="19"/>
  <c r="D20" i="19"/>
  <c r="E20" i="19"/>
  <c r="F20" i="19"/>
  <c r="G20" i="19"/>
  <c r="B21" i="19"/>
  <c r="C21" i="19"/>
  <c r="D21" i="19"/>
  <c r="E21" i="19"/>
  <c r="F21" i="19"/>
  <c r="G21" i="19"/>
  <c r="G2" i="19"/>
  <c r="F2" i="19"/>
  <c r="E2" i="19"/>
  <c r="D2" i="19"/>
  <c r="C2" i="19"/>
  <c r="B2" i="19"/>
  <c r="B3" i="18"/>
  <c r="C3" i="18"/>
  <c r="D3" i="18"/>
  <c r="E3" i="18"/>
  <c r="F3" i="18"/>
  <c r="G3" i="18"/>
  <c r="B4" i="18"/>
  <c r="C4" i="18"/>
  <c r="D4" i="18"/>
  <c r="E4" i="18"/>
  <c r="F4" i="18"/>
  <c r="G4" i="18"/>
  <c r="B5" i="18"/>
  <c r="C5" i="18"/>
  <c r="D5" i="18"/>
  <c r="E5" i="18"/>
  <c r="F5" i="18"/>
  <c r="G5" i="18"/>
  <c r="B6" i="18"/>
  <c r="C6" i="18"/>
  <c r="D6" i="18"/>
  <c r="E6" i="18"/>
  <c r="F6" i="18"/>
  <c r="G6" i="18"/>
  <c r="B7" i="18"/>
  <c r="C7" i="18"/>
  <c r="D7" i="18"/>
  <c r="E7" i="18"/>
  <c r="F7" i="18"/>
  <c r="G7" i="18"/>
  <c r="B8" i="18"/>
  <c r="C8" i="18"/>
  <c r="D8" i="18"/>
  <c r="E8" i="18"/>
  <c r="F8" i="18"/>
  <c r="G8" i="18"/>
  <c r="B9" i="18"/>
  <c r="C9" i="18"/>
  <c r="D9" i="18"/>
  <c r="E9" i="18"/>
  <c r="F9" i="18"/>
  <c r="G9" i="18"/>
  <c r="B10" i="18"/>
  <c r="C10" i="18"/>
  <c r="D10" i="18"/>
  <c r="E10" i="18"/>
  <c r="F10" i="18"/>
  <c r="G10" i="18"/>
  <c r="B11" i="18"/>
  <c r="C11" i="18"/>
  <c r="D11" i="18"/>
  <c r="E11" i="18"/>
  <c r="F11" i="18"/>
  <c r="G11" i="18"/>
  <c r="B12" i="18"/>
  <c r="C12" i="18"/>
  <c r="D12" i="18"/>
  <c r="E12" i="18"/>
  <c r="F12" i="18"/>
  <c r="G12" i="18"/>
  <c r="B13" i="18"/>
  <c r="C13" i="18"/>
  <c r="D13" i="18"/>
  <c r="E13" i="18"/>
  <c r="F13" i="18"/>
  <c r="G13" i="18"/>
  <c r="B14" i="18"/>
  <c r="C14" i="18"/>
  <c r="D14" i="18"/>
  <c r="E14" i="18"/>
  <c r="F14" i="18"/>
  <c r="G14" i="18"/>
  <c r="B15" i="18"/>
  <c r="C15" i="18"/>
  <c r="D15" i="18"/>
  <c r="E15" i="18"/>
  <c r="F15" i="18"/>
  <c r="G15" i="18"/>
  <c r="B16" i="18"/>
  <c r="C16" i="18"/>
  <c r="D16" i="18"/>
  <c r="E16" i="18"/>
  <c r="F16" i="18"/>
  <c r="G16" i="18"/>
  <c r="B17" i="18"/>
  <c r="C17" i="18"/>
  <c r="D17" i="18"/>
  <c r="E17" i="18"/>
  <c r="F17" i="18"/>
  <c r="G17" i="18"/>
  <c r="B18" i="18"/>
  <c r="C18" i="18"/>
  <c r="D18" i="18"/>
  <c r="E18" i="18"/>
  <c r="F18" i="18"/>
  <c r="G18" i="18"/>
  <c r="B19" i="18"/>
  <c r="C19" i="18"/>
  <c r="D19" i="18"/>
  <c r="E19" i="18"/>
  <c r="F19" i="18"/>
  <c r="G19" i="18"/>
  <c r="B20" i="18"/>
  <c r="C20" i="18"/>
  <c r="D20" i="18"/>
  <c r="E20" i="18"/>
  <c r="F20" i="18"/>
  <c r="G20" i="18"/>
  <c r="B21" i="18"/>
  <c r="C21" i="18"/>
  <c r="D21" i="18"/>
  <c r="E21" i="18"/>
  <c r="F21" i="18"/>
  <c r="G21" i="18"/>
  <c r="G2" i="18"/>
  <c r="F2" i="18"/>
  <c r="E2" i="18"/>
  <c r="D2" i="18"/>
  <c r="C2" i="18"/>
  <c r="B2" i="18"/>
  <c r="B3" i="17"/>
  <c r="C3" i="17"/>
  <c r="D3" i="17"/>
  <c r="E3" i="17"/>
  <c r="F3" i="17"/>
  <c r="G3" i="17"/>
  <c r="B4" i="17"/>
  <c r="C4" i="17"/>
  <c r="D4" i="17"/>
  <c r="E4" i="17"/>
  <c r="F4" i="17"/>
  <c r="G4" i="17"/>
  <c r="B5" i="17"/>
  <c r="C5" i="17"/>
  <c r="D5" i="17"/>
  <c r="E5" i="17"/>
  <c r="F5" i="17"/>
  <c r="G5" i="17"/>
  <c r="B6" i="17"/>
  <c r="C6" i="17"/>
  <c r="D6" i="17"/>
  <c r="E6" i="17"/>
  <c r="F6" i="17"/>
  <c r="G6" i="17"/>
  <c r="B7" i="17"/>
  <c r="C7" i="17"/>
  <c r="D7" i="17"/>
  <c r="E7" i="17"/>
  <c r="F7" i="17"/>
  <c r="G7" i="17"/>
  <c r="B8" i="17"/>
  <c r="C8" i="17"/>
  <c r="D8" i="17"/>
  <c r="E8" i="17"/>
  <c r="F8" i="17"/>
  <c r="G8" i="17"/>
  <c r="B9" i="17"/>
  <c r="C9" i="17"/>
  <c r="D9" i="17"/>
  <c r="E9" i="17"/>
  <c r="F9" i="17"/>
  <c r="G9" i="17"/>
  <c r="B10" i="17"/>
  <c r="C10" i="17"/>
  <c r="D10" i="17"/>
  <c r="E10" i="17"/>
  <c r="F10" i="17"/>
  <c r="G10" i="17"/>
  <c r="B11" i="17"/>
  <c r="C11" i="17"/>
  <c r="D11" i="17"/>
  <c r="E11" i="17"/>
  <c r="F11" i="17"/>
  <c r="G11" i="17"/>
  <c r="B12" i="17"/>
  <c r="C12" i="17"/>
  <c r="D12" i="17"/>
  <c r="E12" i="17"/>
  <c r="F12" i="17"/>
  <c r="G12" i="17"/>
  <c r="B13" i="17"/>
  <c r="C13" i="17"/>
  <c r="D13" i="17"/>
  <c r="E13" i="17"/>
  <c r="F13" i="17"/>
  <c r="G13" i="17"/>
  <c r="B14" i="17"/>
  <c r="C14" i="17"/>
  <c r="D14" i="17"/>
  <c r="E14" i="17"/>
  <c r="F14" i="17"/>
  <c r="G14" i="17"/>
  <c r="B15" i="17"/>
  <c r="C15" i="17"/>
  <c r="D15" i="17"/>
  <c r="E15" i="17"/>
  <c r="F15" i="17"/>
  <c r="G15" i="17"/>
  <c r="B16" i="17"/>
  <c r="C16" i="17"/>
  <c r="D16" i="17"/>
  <c r="E16" i="17"/>
  <c r="F16" i="17"/>
  <c r="G16" i="17"/>
  <c r="B17" i="17"/>
  <c r="C17" i="17"/>
  <c r="D17" i="17"/>
  <c r="E17" i="17"/>
  <c r="F17" i="17"/>
  <c r="G17" i="17"/>
  <c r="B18" i="17"/>
  <c r="C18" i="17"/>
  <c r="D18" i="17"/>
  <c r="E18" i="17"/>
  <c r="F18" i="17"/>
  <c r="G18" i="17"/>
  <c r="B19" i="17"/>
  <c r="C19" i="17"/>
  <c r="D19" i="17"/>
  <c r="E19" i="17"/>
  <c r="F19" i="17"/>
  <c r="G19" i="17"/>
  <c r="B20" i="17"/>
  <c r="C20" i="17"/>
  <c r="D20" i="17"/>
  <c r="E20" i="17"/>
  <c r="F20" i="17"/>
  <c r="G20" i="17"/>
  <c r="B21" i="17"/>
  <c r="C21" i="17"/>
  <c r="D21" i="17"/>
  <c r="E21" i="17"/>
  <c r="F21" i="17"/>
  <c r="G21" i="17"/>
  <c r="G2" i="17"/>
  <c r="F2" i="17"/>
  <c r="E2" i="17"/>
  <c r="D2" i="17"/>
  <c r="C2" i="17"/>
  <c r="B2" i="17"/>
  <c r="B3" i="16"/>
  <c r="C3" i="16"/>
  <c r="D3" i="16"/>
  <c r="E3" i="16"/>
  <c r="F3" i="16"/>
  <c r="G3" i="16"/>
  <c r="B4" i="16"/>
  <c r="C4" i="16"/>
  <c r="D4" i="16"/>
  <c r="E4" i="16"/>
  <c r="F4" i="16"/>
  <c r="G4" i="16"/>
  <c r="B5" i="16"/>
  <c r="C5" i="16"/>
  <c r="D5" i="16"/>
  <c r="E5" i="16"/>
  <c r="F5" i="16"/>
  <c r="G5" i="16"/>
  <c r="B6" i="16"/>
  <c r="C6" i="16"/>
  <c r="D6" i="16"/>
  <c r="E6" i="16"/>
  <c r="F6" i="16"/>
  <c r="G6" i="16"/>
  <c r="B7" i="16"/>
  <c r="C7" i="16"/>
  <c r="D7" i="16"/>
  <c r="E7" i="16"/>
  <c r="F7" i="16"/>
  <c r="G7" i="16"/>
  <c r="B8" i="16"/>
  <c r="C8" i="16"/>
  <c r="D8" i="16"/>
  <c r="E8" i="16"/>
  <c r="F8" i="16"/>
  <c r="G8" i="16"/>
  <c r="B9" i="16"/>
  <c r="C9" i="16"/>
  <c r="D9" i="16"/>
  <c r="E9" i="16"/>
  <c r="F9" i="16"/>
  <c r="G9" i="16"/>
  <c r="B10" i="16"/>
  <c r="C10" i="16"/>
  <c r="D10" i="16"/>
  <c r="E10" i="16"/>
  <c r="F10" i="16"/>
  <c r="G10" i="16"/>
  <c r="B11" i="16"/>
  <c r="C11" i="16"/>
  <c r="D11" i="16"/>
  <c r="E11" i="16"/>
  <c r="F11" i="16"/>
  <c r="G11" i="16"/>
  <c r="B12" i="16"/>
  <c r="C12" i="16"/>
  <c r="D12" i="16"/>
  <c r="E12" i="16"/>
  <c r="F12" i="16"/>
  <c r="G12" i="16"/>
  <c r="B13" i="16"/>
  <c r="C13" i="16"/>
  <c r="D13" i="16"/>
  <c r="E13" i="16"/>
  <c r="F13" i="16"/>
  <c r="G13" i="16"/>
  <c r="B14" i="16"/>
  <c r="C14" i="16"/>
  <c r="D14" i="16"/>
  <c r="E14" i="16"/>
  <c r="F14" i="16"/>
  <c r="G14" i="16"/>
  <c r="B15" i="16"/>
  <c r="C15" i="16"/>
  <c r="D15" i="16"/>
  <c r="E15" i="16"/>
  <c r="F15" i="16"/>
  <c r="G15" i="16"/>
  <c r="B16" i="16"/>
  <c r="C16" i="16"/>
  <c r="D16" i="16"/>
  <c r="E16" i="16"/>
  <c r="F16" i="16"/>
  <c r="G16" i="16"/>
  <c r="B17" i="16"/>
  <c r="C17" i="16"/>
  <c r="D17" i="16"/>
  <c r="E17" i="16"/>
  <c r="F17" i="16"/>
  <c r="G17" i="16"/>
  <c r="B18" i="16"/>
  <c r="C18" i="16"/>
  <c r="D18" i="16"/>
  <c r="E18" i="16"/>
  <c r="F18" i="16"/>
  <c r="G18" i="16"/>
  <c r="B19" i="16"/>
  <c r="C19" i="16"/>
  <c r="D19" i="16"/>
  <c r="E19" i="16"/>
  <c r="F19" i="16"/>
  <c r="G19" i="16"/>
  <c r="B20" i="16"/>
  <c r="C20" i="16"/>
  <c r="D20" i="16"/>
  <c r="E20" i="16"/>
  <c r="F20" i="16"/>
  <c r="G20" i="16"/>
  <c r="B21" i="16"/>
  <c r="C21" i="16"/>
  <c r="D21" i="16"/>
  <c r="E21" i="16"/>
  <c r="F21" i="16"/>
  <c r="G21" i="16"/>
  <c r="G2" i="16"/>
  <c r="F2" i="16"/>
  <c r="E2" i="16"/>
  <c r="D2" i="16"/>
  <c r="C2" i="16"/>
  <c r="B2" i="16"/>
  <c r="B3" i="15"/>
  <c r="C3" i="15"/>
  <c r="D3" i="15"/>
  <c r="E3" i="15"/>
  <c r="F3" i="15"/>
  <c r="G3" i="15"/>
  <c r="B4" i="15"/>
  <c r="C4" i="15"/>
  <c r="D4" i="15"/>
  <c r="E4" i="15"/>
  <c r="F4" i="15"/>
  <c r="G4" i="15"/>
  <c r="B5" i="15"/>
  <c r="C5" i="15"/>
  <c r="D5" i="15"/>
  <c r="E5" i="15"/>
  <c r="F5" i="15"/>
  <c r="G5" i="15"/>
  <c r="B6" i="15"/>
  <c r="C6" i="15"/>
  <c r="D6" i="15"/>
  <c r="E6" i="15"/>
  <c r="F6" i="15"/>
  <c r="G6" i="15"/>
  <c r="B7" i="15"/>
  <c r="C7" i="15"/>
  <c r="D7" i="15"/>
  <c r="E7" i="15"/>
  <c r="F7" i="15"/>
  <c r="G7" i="15"/>
  <c r="B8" i="15"/>
  <c r="C8" i="15"/>
  <c r="D8" i="15"/>
  <c r="E8" i="15"/>
  <c r="F8" i="15"/>
  <c r="G8" i="15"/>
  <c r="B9" i="15"/>
  <c r="C9" i="15"/>
  <c r="D9" i="15"/>
  <c r="E9" i="15"/>
  <c r="F9" i="15"/>
  <c r="G9" i="15"/>
  <c r="B10" i="15"/>
  <c r="C10" i="15"/>
  <c r="D10" i="15"/>
  <c r="E10" i="15"/>
  <c r="F10" i="15"/>
  <c r="G10" i="15"/>
  <c r="B11" i="15"/>
  <c r="C11" i="15"/>
  <c r="D11" i="15"/>
  <c r="E11" i="15"/>
  <c r="F11" i="15"/>
  <c r="G11" i="15"/>
  <c r="B12" i="15"/>
  <c r="C12" i="15"/>
  <c r="D12" i="15"/>
  <c r="E12" i="15"/>
  <c r="F12" i="15"/>
  <c r="G12" i="15"/>
  <c r="B13" i="15"/>
  <c r="C13" i="15"/>
  <c r="D13" i="15"/>
  <c r="E13" i="15"/>
  <c r="F13" i="15"/>
  <c r="G13" i="15"/>
  <c r="B14" i="15"/>
  <c r="C14" i="15"/>
  <c r="D14" i="15"/>
  <c r="E14" i="15"/>
  <c r="F14" i="15"/>
  <c r="G14" i="15"/>
  <c r="B15" i="15"/>
  <c r="C15" i="15"/>
  <c r="D15" i="15"/>
  <c r="E15" i="15"/>
  <c r="F15" i="15"/>
  <c r="G15" i="15"/>
  <c r="B16" i="15"/>
  <c r="C16" i="15"/>
  <c r="D16" i="15"/>
  <c r="E16" i="15"/>
  <c r="F16" i="15"/>
  <c r="G16" i="15"/>
  <c r="B17" i="15"/>
  <c r="C17" i="15"/>
  <c r="D17" i="15"/>
  <c r="E17" i="15"/>
  <c r="F17" i="15"/>
  <c r="G17" i="15"/>
  <c r="B18" i="15"/>
  <c r="C18" i="15"/>
  <c r="D18" i="15"/>
  <c r="E18" i="15"/>
  <c r="F18" i="15"/>
  <c r="G18" i="15"/>
  <c r="B19" i="15"/>
  <c r="C19" i="15"/>
  <c r="D19" i="15"/>
  <c r="E19" i="15"/>
  <c r="F19" i="15"/>
  <c r="G19" i="15"/>
  <c r="B20" i="15"/>
  <c r="C20" i="15"/>
  <c r="D20" i="15"/>
  <c r="E20" i="15"/>
  <c r="F20" i="15"/>
  <c r="G20" i="15"/>
  <c r="B21" i="15"/>
  <c r="C21" i="15"/>
  <c r="D21" i="15"/>
  <c r="E21" i="15"/>
  <c r="F21" i="15"/>
  <c r="G21" i="15"/>
  <c r="G2" i="15"/>
  <c r="F2" i="15"/>
  <c r="E2" i="15"/>
  <c r="D2" i="15"/>
  <c r="C2" i="15"/>
  <c r="B2" i="15"/>
  <c r="B3" i="14"/>
  <c r="C3" i="14"/>
  <c r="D3" i="14"/>
  <c r="E3" i="14"/>
  <c r="F3" i="14"/>
  <c r="G3" i="14"/>
  <c r="B4" i="14"/>
  <c r="C4" i="14"/>
  <c r="D4" i="14"/>
  <c r="E4" i="14"/>
  <c r="F4" i="14"/>
  <c r="G4" i="14"/>
  <c r="B5" i="14"/>
  <c r="C5" i="14"/>
  <c r="D5" i="14"/>
  <c r="E5" i="14"/>
  <c r="F5" i="14"/>
  <c r="G5" i="14"/>
  <c r="B6" i="14"/>
  <c r="C6" i="14"/>
  <c r="D6" i="14"/>
  <c r="E6" i="14"/>
  <c r="F6" i="14"/>
  <c r="G6" i="14"/>
  <c r="B7" i="14"/>
  <c r="C7" i="14"/>
  <c r="D7" i="14"/>
  <c r="E7" i="14"/>
  <c r="F7" i="14"/>
  <c r="G7" i="14"/>
  <c r="B8" i="14"/>
  <c r="C8" i="14"/>
  <c r="D8" i="14"/>
  <c r="E8" i="14"/>
  <c r="F8" i="14"/>
  <c r="G8" i="14"/>
  <c r="B9" i="14"/>
  <c r="C9" i="14"/>
  <c r="D9" i="14"/>
  <c r="E9" i="14"/>
  <c r="F9" i="14"/>
  <c r="G9" i="14"/>
  <c r="B10" i="14"/>
  <c r="C10" i="14"/>
  <c r="D10" i="14"/>
  <c r="E10" i="14"/>
  <c r="F10" i="14"/>
  <c r="G10" i="14"/>
  <c r="B11" i="14"/>
  <c r="C11" i="14"/>
  <c r="D11" i="14"/>
  <c r="E11" i="14"/>
  <c r="F11" i="14"/>
  <c r="G11" i="14"/>
  <c r="B12" i="14"/>
  <c r="C12" i="14"/>
  <c r="D12" i="14"/>
  <c r="E12" i="14"/>
  <c r="F12" i="14"/>
  <c r="G12" i="14"/>
  <c r="B13" i="14"/>
  <c r="C13" i="14"/>
  <c r="D13" i="14"/>
  <c r="E13" i="14"/>
  <c r="F13" i="14"/>
  <c r="G13" i="14"/>
  <c r="B14" i="14"/>
  <c r="C14" i="14"/>
  <c r="D14" i="14"/>
  <c r="E14" i="14"/>
  <c r="F14" i="14"/>
  <c r="G14" i="14"/>
  <c r="B15" i="14"/>
  <c r="C15" i="14"/>
  <c r="D15" i="14"/>
  <c r="E15" i="14"/>
  <c r="F15" i="14"/>
  <c r="G15" i="14"/>
  <c r="B16" i="14"/>
  <c r="C16" i="14"/>
  <c r="D16" i="14"/>
  <c r="E16" i="14"/>
  <c r="F16" i="14"/>
  <c r="G16" i="14"/>
  <c r="B17" i="14"/>
  <c r="C17" i="14"/>
  <c r="D17" i="14"/>
  <c r="E17" i="14"/>
  <c r="F17" i="14"/>
  <c r="G17" i="14"/>
  <c r="B18" i="14"/>
  <c r="C18" i="14"/>
  <c r="D18" i="14"/>
  <c r="E18" i="14"/>
  <c r="F18" i="14"/>
  <c r="G18" i="14"/>
  <c r="B19" i="14"/>
  <c r="C19" i="14"/>
  <c r="D19" i="14"/>
  <c r="E19" i="14"/>
  <c r="F19" i="14"/>
  <c r="G19" i="14"/>
  <c r="B20" i="14"/>
  <c r="C20" i="14"/>
  <c r="D20" i="14"/>
  <c r="E20" i="14"/>
  <c r="F20" i="14"/>
  <c r="G20" i="14"/>
  <c r="B21" i="14"/>
  <c r="C21" i="14"/>
  <c r="D21" i="14"/>
  <c r="E21" i="14"/>
  <c r="F21" i="14"/>
  <c r="G21" i="14"/>
  <c r="G2" i="14"/>
  <c r="F2" i="14"/>
  <c r="E2" i="14"/>
  <c r="D2" i="14"/>
  <c r="C2" i="14"/>
  <c r="B2" i="14"/>
  <c r="B3" i="13"/>
  <c r="C3" i="13"/>
  <c r="D3" i="13"/>
  <c r="E3" i="13"/>
  <c r="F3" i="13"/>
  <c r="G3" i="13"/>
  <c r="B4" i="13"/>
  <c r="C4" i="13"/>
  <c r="D4" i="13"/>
  <c r="E4" i="13"/>
  <c r="F4" i="13"/>
  <c r="G4" i="13"/>
  <c r="B5" i="13"/>
  <c r="C5" i="13"/>
  <c r="D5" i="13"/>
  <c r="E5" i="13"/>
  <c r="F5" i="13"/>
  <c r="G5" i="13"/>
  <c r="B6" i="13"/>
  <c r="C6" i="13"/>
  <c r="D6" i="13"/>
  <c r="E6" i="13"/>
  <c r="F6" i="13"/>
  <c r="G6" i="13"/>
  <c r="B7" i="13"/>
  <c r="C7" i="13"/>
  <c r="D7" i="13"/>
  <c r="E7" i="13"/>
  <c r="F7" i="13"/>
  <c r="G7" i="13"/>
  <c r="B8" i="13"/>
  <c r="C8" i="13"/>
  <c r="D8" i="13"/>
  <c r="E8" i="13"/>
  <c r="F8" i="13"/>
  <c r="G8" i="13"/>
  <c r="B9" i="13"/>
  <c r="C9" i="13"/>
  <c r="D9" i="13"/>
  <c r="E9" i="13"/>
  <c r="F9" i="13"/>
  <c r="G9" i="13"/>
  <c r="B10" i="13"/>
  <c r="C10" i="13"/>
  <c r="D10" i="13"/>
  <c r="E10" i="13"/>
  <c r="F10" i="13"/>
  <c r="G10" i="13"/>
  <c r="B11" i="13"/>
  <c r="C11" i="13"/>
  <c r="D11" i="13"/>
  <c r="E11" i="13"/>
  <c r="F11" i="13"/>
  <c r="G11" i="13"/>
  <c r="B12" i="13"/>
  <c r="C12" i="13"/>
  <c r="D12" i="13"/>
  <c r="E12" i="13"/>
  <c r="F12" i="13"/>
  <c r="G12" i="13"/>
  <c r="B13" i="13"/>
  <c r="C13" i="13"/>
  <c r="D13" i="13"/>
  <c r="E13" i="13"/>
  <c r="F13" i="13"/>
  <c r="G13" i="13"/>
  <c r="B14" i="13"/>
  <c r="C14" i="13"/>
  <c r="D14" i="13"/>
  <c r="E14" i="13"/>
  <c r="F14" i="13"/>
  <c r="G14" i="13"/>
  <c r="B15" i="13"/>
  <c r="C15" i="13"/>
  <c r="D15" i="13"/>
  <c r="E15" i="13"/>
  <c r="F15" i="13"/>
  <c r="G15" i="13"/>
  <c r="B16" i="13"/>
  <c r="C16" i="13"/>
  <c r="D16" i="13"/>
  <c r="E16" i="13"/>
  <c r="F16" i="13"/>
  <c r="G16" i="13"/>
  <c r="B17" i="13"/>
  <c r="C17" i="13"/>
  <c r="D17" i="13"/>
  <c r="E17" i="13"/>
  <c r="F17" i="13"/>
  <c r="G17" i="13"/>
  <c r="B18" i="13"/>
  <c r="C18" i="13"/>
  <c r="D18" i="13"/>
  <c r="E18" i="13"/>
  <c r="F18" i="13"/>
  <c r="G18" i="13"/>
  <c r="B19" i="13"/>
  <c r="C19" i="13"/>
  <c r="D19" i="13"/>
  <c r="E19" i="13"/>
  <c r="F19" i="13"/>
  <c r="G19" i="13"/>
  <c r="B20" i="13"/>
  <c r="C20" i="13"/>
  <c r="D20" i="13"/>
  <c r="E20" i="13"/>
  <c r="F20" i="13"/>
  <c r="G20" i="13"/>
  <c r="B21" i="13"/>
  <c r="C21" i="13"/>
  <c r="D21" i="13"/>
  <c r="E21" i="13"/>
  <c r="F21" i="13"/>
  <c r="G21" i="13"/>
  <c r="G2" i="13"/>
  <c r="F2" i="13"/>
  <c r="E2" i="13"/>
  <c r="D2" i="13"/>
  <c r="C2" i="13"/>
  <c r="B2" i="13"/>
  <c r="B3" i="12"/>
  <c r="C3" i="12"/>
  <c r="D3" i="12"/>
  <c r="E3" i="12"/>
  <c r="F3" i="12"/>
  <c r="G3" i="12"/>
  <c r="B4" i="12"/>
  <c r="C4" i="12"/>
  <c r="D4" i="12"/>
  <c r="E4" i="12"/>
  <c r="F4" i="12"/>
  <c r="G4" i="12"/>
  <c r="B5" i="12"/>
  <c r="C5" i="12"/>
  <c r="D5" i="12"/>
  <c r="E5" i="12"/>
  <c r="F5" i="12"/>
  <c r="G5" i="12"/>
  <c r="B6" i="12"/>
  <c r="C6" i="12"/>
  <c r="D6" i="12"/>
  <c r="E6" i="12"/>
  <c r="F6" i="12"/>
  <c r="G6" i="12"/>
  <c r="B7" i="12"/>
  <c r="C7" i="12"/>
  <c r="D7" i="12"/>
  <c r="E7" i="12"/>
  <c r="F7" i="12"/>
  <c r="G7" i="12"/>
  <c r="B8" i="12"/>
  <c r="C8" i="12"/>
  <c r="D8" i="12"/>
  <c r="E8" i="12"/>
  <c r="F8" i="12"/>
  <c r="G8" i="12"/>
  <c r="B9" i="12"/>
  <c r="C9" i="12"/>
  <c r="D9" i="12"/>
  <c r="E9" i="12"/>
  <c r="F9" i="12"/>
  <c r="G9" i="12"/>
  <c r="B10" i="12"/>
  <c r="C10" i="12"/>
  <c r="D10" i="12"/>
  <c r="E10" i="12"/>
  <c r="F10" i="12"/>
  <c r="G10" i="12"/>
  <c r="B11" i="12"/>
  <c r="C11" i="12"/>
  <c r="D11" i="12"/>
  <c r="E11" i="12"/>
  <c r="F11" i="12"/>
  <c r="G11" i="12"/>
  <c r="B12" i="12"/>
  <c r="C12" i="12"/>
  <c r="D12" i="12"/>
  <c r="E12" i="12"/>
  <c r="F12" i="12"/>
  <c r="G12" i="12"/>
  <c r="B13" i="12"/>
  <c r="C13" i="12"/>
  <c r="D13" i="12"/>
  <c r="E13" i="12"/>
  <c r="F13" i="12"/>
  <c r="G13" i="12"/>
  <c r="B14" i="12"/>
  <c r="C14" i="12"/>
  <c r="D14" i="12"/>
  <c r="E14" i="12"/>
  <c r="F14" i="12"/>
  <c r="G14" i="12"/>
  <c r="B15" i="12"/>
  <c r="C15" i="12"/>
  <c r="D15" i="12"/>
  <c r="E15" i="12"/>
  <c r="F15" i="12"/>
  <c r="G15" i="12"/>
  <c r="B16" i="12"/>
  <c r="C16" i="12"/>
  <c r="D16" i="12"/>
  <c r="E16" i="12"/>
  <c r="F16" i="12"/>
  <c r="G16" i="12"/>
  <c r="B17" i="12"/>
  <c r="C17" i="12"/>
  <c r="D17" i="12"/>
  <c r="E17" i="12"/>
  <c r="F17" i="12"/>
  <c r="G17" i="12"/>
  <c r="B18" i="12"/>
  <c r="C18" i="12"/>
  <c r="D18" i="12"/>
  <c r="E18" i="12"/>
  <c r="F18" i="12"/>
  <c r="G18" i="12"/>
  <c r="B19" i="12"/>
  <c r="C19" i="12"/>
  <c r="D19" i="12"/>
  <c r="E19" i="12"/>
  <c r="F19" i="12"/>
  <c r="G19" i="12"/>
  <c r="B20" i="12"/>
  <c r="C20" i="12"/>
  <c r="D20" i="12"/>
  <c r="E20" i="12"/>
  <c r="F20" i="12"/>
  <c r="G20" i="12"/>
  <c r="B21" i="12"/>
  <c r="C21" i="12"/>
  <c r="D21" i="12"/>
  <c r="E21" i="12"/>
  <c r="F21" i="12"/>
  <c r="G21" i="12"/>
  <c r="G2" i="12"/>
  <c r="F2" i="12"/>
  <c r="E2" i="12"/>
  <c r="D2" i="12"/>
  <c r="C2" i="12"/>
  <c r="B2" i="12"/>
  <c r="B3" i="11"/>
  <c r="C3" i="11"/>
  <c r="D3" i="11"/>
  <c r="E3" i="11"/>
  <c r="F3" i="11"/>
  <c r="G3" i="11"/>
  <c r="B4" i="11"/>
  <c r="C4" i="11"/>
  <c r="D4" i="11"/>
  <c r="E4" i="11"/>
  <c r="F4" i="11"/>
  <c r="G4" i="11"/>
  <c r="B5" i="11"/>
  <c r="C5" i="11"/>
  <c r="D5" i="11"/>
  <c r="E5" i="11"/>
  <c r="F5" i="11"/>
  <c r="G5" i="11"/>
  <c r="B6" i="11"/>
  <c r="C6" i="11"/>
  <c r="D6" i="11"/>
  <c r="E6" i="11"/>
  <c r="F6" i="11"/>
  <c r="G6" i="11"/>
  <c r="B7" i="11"/>
  <c r="C7" i="11"/>
  <c r="D7" i="11"/>
  <c r="E7" i="11"/>
  <c r="F7" i="11"/>
  <c r="G7" i="11"/>
  <c r="B8" i="11"/>
  <c r="C8" i="11"/>
  <c r="D8" i="11"/>
  <c r="E8" i="11"/>
  <c r="F8" i="11"/>
  <c r="G8" i="11"/>
  <c r="B9" i="11"/>
  <c r="C9" i="11"/>
  <c r="D9" i="11"/>
  <c r="E9" i="11"/>
  <c r="F9" i="11"/>
  <c r="G9" i="11"/>
  <c r="B10" i="11"/>
  <c r="C10" i="11"/>
  <c r="D10" i="11"/>
  <c r="E10" i="11"/>
  <c r="F10" i="11"/>
  <c r="G10" i="11"/>
  <c r="B11" i="11"/>
  <c r="C11" i="11"/>
  <c r="D11" i="11"/>
  <c r="E11" i="11"/>
  <c r="F11" i="11"/>
  <c r="G11" i="11"/>
  <c r="B12" i="11"/>
  <c r="C12" i="11"/>
  <c r="D12" i="11"/>
  <c r="E12" i="11"/>
  <c r="F12" i="11"/>
  <c r="G12" i="11"/>
  <c r="B13" i="11"/>
  <c r="C13" i="11"/>
  <c r="D13" i="11"/>
  <c r="E13" i="11"/>
  <c r="F13" i="11"/>
  <c r="G13" i="11"/>
  <c r="B14" i="11"/>
  <c r="C14" i="11"/>
  <c r="D14" i="11"/>
  <c r="E14" i="11"/>
  <c r="F14" i="11"/>
  <c r="G14" i="11"/>
  <c r="B15" i="11"/>
  <c r="C15" i="11"/>
  <c r="D15" i="11"/>
  <c r="E15" i="11"/>
  <c r="F15" i="11"/>
  <c r="G15" i="11"/>
  <c r="B16" i="11"/>
  <c r="C16" i="11"/>
  <c r="D16" i="11"/>
  <c r="E16" i="11"/>
  <c r="F16" i="11"/>
  <c r="G16" i="11"/>
  <c r="B17" i="11"/>
  <c r="C17" i="11"/>
  <c r="D17" i="11"/>
  <c r="E17" i="11"/>
  <c r="F17" i="11"/>
  <c r="G17" i="11"/>
  <c r="B18" i="11"/>
  <c r="C18" i="11"/>
  <c r="D18" i="11"/>
  <c r="E18" i="11"/>
  <c r="F18" i="11"/>
  <c r="G18" i="11"/>
  <c r="B19" i="11"/>
  <c r="C19" i="11"/>
  <c r="D19" i="11"/>
  <c r="E19" i="11"/>
  <c r="F19" i="11"/>
  <c r="G19" i="11"/>
  <c r="B20" i="11"/>
  <c r="C20" i="11"/>
  <c r="D20" i="11"/>
  <c r="E20" i="11"/>
  <c r="F20" i="11"/>
  <c r="G20" i="11"/>
  <c r="B21" i="11"/>
  <c r="C21" i="11"/>
  <c r="D21" i="11"/>
  <c r="E21" i="11"/>
  <c r="F21" i="11"/>
  <c r="G21" i="11"/>
  <c r="G2" i="11"/>
  <c r="F2" i="11"/>
  <c r="E2" i="11"/>
  <c r="D2" i="11"/>
  <c r="C2" i="11"/>
  <c r="B2" i="11"/>
  <c r="B22" i="11" s="1"/>
  <c r="B3" i="10"/>
  <c r="C3" i="10"/>
  <c r="D3" i="10"/>
  <c r="E3" i="10"/>
  <c r="F3" i="10"/>
  <c r="G3" i="10"/>
  <c r="B4" i="10"/>
  <c r="C4" i="10"/>
  <c r="D4" i="10"/>
  <c r="E4" i="10"/>
  <c r="F4" i="10"/>
  <c r="G4" i="10"/>
  <c r="B5" i="10"/>
  <c r="C5" i="10"/>
  <c r="D5" i="10"/>
  <c r="E5" i="10"/>
  <c r="F5" i="10"/>
  <c r="G5" i="10"/>
  <c r="B6" i="10"/>
  <c r="C6" i="10"/>
  <c r="D6" i="10"/>
  <c r="E6" i="10"/>
  <c r="F6" i="10"/>
  <c r="G6" i="10"/>
  <c r="B7" i="10"/>
  <c r="C7" i="10"/>
  <c r="D7" i="10"/>
  <c r="E7" i="10"/>
  <c r="F7" i="10"/>
  <c r="G7" i="10"/>
  <c r="B8" i="10"/>
  <c r="C8" i="10"/>
  <c r="D8" i="10"/>
  <c r="E8" i="10"/>
  <c r="F8" i="10"/>
  <c r="G8" i="10"/>
  <c r="B9" i="10"/>
  <c r="C9" i="10"/>
  <c r="D9" i="10"/>
  <c r="E9" i="10"/>
  <c r="F9" i="10"/>
  <c r="G9" i="10"/>
  <c r="B10" i="10"/>
  <c r="C10" i="10"/>
  <c r="D10" i="10"/>
  <c r="E10" i="10"/>
  <c r="F10" i="10"/>
  <c r="G10" i="10"/>
  <c r="B11" i="10"/>
  <c r="C11" i="10"/>
  <c r="D11" i="10"/>
  <c r="E11" i="10"/>
  <c r="F11" i="10"/>
  <c r="G11" i="10"/>
  <c r="B12" i="10"/>
  <c r="C12" i="10"/>
  <c r="D12" i="10"/>
  <c r="E12" i="10"/>
  <c r="F12" i="10"/>
  <c r="G12" i="10"/>
  <c r="B13" i="10"/>
  <c r="C13" i="10"/>
  <c r="D13" i="10"/>
  <c r="E13" i="10"/>
  <c r="F13" i="10"/>
  <c r="G13" i="10"/>
  <c r="B14" i="10"/>
  <c r="C14" i="10"/>
  <c r="D14" i="10"/>
  <c r="E14" i="10"/>
  <c r="F14" i="10"/>
  <c r="G14" i="10"/>
  <c r="B15" i="10"/>
  <c r="C15" i="10"/>
  <c r="D15" i="10"/>
  <c r="E15" i="10"/>
  <c r="F15" i="10"/>
  <c r="G15" i="10"/>
  <c r="B16" i="10"/>
  <c r="C16" i="10"/>
  <c r="D16" i="10"/>
  <c r="E16" i="10"/>
  <c r="F16" i="10"/>
  <c r="G16" i="10"/>
  <c r="B17" i="10"/>
  <c r="C17" i="10"/>
  <c r="D17" i="10"/>
  <c r="E17" i="10"/>
  <c r="F17" i="10"/>
  <c r="G17" i="10"/>
  <c r="B18" i="10"/>
  <c r="C18" i="10"/>
  <c r="D18" i="10"/>
  <c r="E18" i="10"/>
  <c r="F18" i="10"/>
  <c r="G18" i="10"/>
  <c r="B19" i="10"/>
  <c r="C19" i="10"/>
  <c r="D19" i="10"/>
  <c r="E19" i="10"/>
  <c r="F19" i="10"/>
  <c r="G19" i="10"/>
  <c r="B20" i="10"/>
  <c r="C20" i="10"/>
  <c r="D20" i="10"/>
  <c r="E20" i="10"/>
  <c r="F20" i="10"/>
  <c r="G20" i="10"/>
  <c r="B21" i="10"/>
  <c r="C21" i="10"/>
  <c r="D21" i="10"/>
  <c r="E21" i="10"/>
  <c r="F21" i="10"/>
  <c r="G21" i="10"/>
  <c r="G2" i="10"/>
  <c r="F2" i="10"/>
  <c r="E2" i="10"/>
  <c r="D2" i="10"/>
  <c r="C2" i="10"/>
  <c r="B2" i="10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" i="6"/>
  <c r="F2" i="6"/>
  <c r="E2" i="6"/>
  <c r="D2" i="6"/>
  <c r="C2" i="6"/>
  <c r="B2" i="6"/>
  <c r="G18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D19" i="1"/>
  <c r="E19" i="1"/>
  <c r="F19" i="1"/>
  <c r="G19" i="1"/>
  <c r="D20" i="1"/>
  <c r="E20" i="1"/>
  <c r="F20" i="1"/>
  <c r="G20" i="1"/>
  <c r="D21" i="1"/>
  <c r="E21" i="1"/>
  <c r="F21" i="1"/>
  <c r="G21" i="1"/>
  <c r="G2" i="1"/>
  <c r="F2" i="1"/>
  <c r="E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86C313-4AB6-4029-9A7D-C19740AE35BE}" keepAlive="1" name="查询 - AllData" description="与工作簿中“AllData”查询的连接。" type="5" refreshedVersion="8" background="1" saveData="1">
    <dbPr connection="Provider=Microsoft.Mashup.OleDb.1;Data Source=$Workbook$;Location=AllData;Extended Properties=&quot;&quot;" command="SELECT * FROM [AllData]"/>
  </connection>
  <connection id="2" xr16:uid="{6D855464-CB6B-46DB-8ABC-50E77A53D2D9}" keepAlive="1" name="查询 - AllData (2)" description="与工作簿中“AllData (2)”查询的连接。" type="5" refreshedVersion="8" background="1" saveData="1">
    <dbPr connection="Provider=Microsoft.Mashup.OleDb.1;Data Source=$Workbook$;Location=&quot;AllData (2)&quot;;Extended Properties=&quot;&quot;" command="SELECT * FROM [AllData (2)]"/>
  </connection>
  <connection id="3" xr16:uid="{03BC23D8-558E-4B7B-87E5-456AE314FE13}" keepAlive="1" name="查询 - AllData (3)" description="与工作簿中“AllData (3)”查询的连接。" type="5" refreshedVersion="8" background="1" saveData="1">
    <dbPr connection="Provider=Microsoft.Mashup.OleDb.1;Data Source=$Workbook$;Location=&quot;AllData (3)&quot;;Extended Properties=&quot;&quot;" command="SELECT * FROM [AllData (3)]"/>
  </connection>
  <connection id="4" xr16:uid="{0369A887-A5A6-40FA-BE6C-5F0EB4857B6B}" keepAlive="1" name="查询 - AllData (4)" description="与工作簿中“AllData (4)”查询的连接。" type="5" refreshedVersion="8" background="1" saveData="1">
    <dbPr connection="Provider=Microsoft.Mashup.OleDb.1;Data Source=$Workbook$;Location=&quot;AllData (4)&quot;;Extended Properties=&quot;&quot;" command="SELECT * FROM [AllData (4)]"/>
  </connection>
  <connection id="5" xr16:uid="{FD2EA780-50D0-441F-A307-1DC134C956DA}" keepAlive="1" name="查询 - AllData (5)" description="与工作簿中“AllData (5)”查询的连接。" type="5" refreshedVersion="8" background="1" saveData="1">
    <dbPr connection="Provider=Microsoft.Mashup.OleDb.1;Data Source=$Workbook$;Location=&quot;AllData (5)&quot;;Extended Properties=&quot;&quot;" command="SELECT * FROM [AllData (5)]"/>
  </connection>
  <connection id="6" xr16:uid="{6DB6AB61-52F3-4154-9AAC-78CE50D3CBD9}" keepAlive="1" name="查询 - AllData (6)" description="与工作簿中“AllData (6)”查询的连接。" type="5" refreshedVersion="8" background="1" saveData="1">
    <dbPr connection="Provider=Microsoft.Mashup.OleDb.1;Data Source=$Workbook$;Location=&quot;AllData (6)&quot;;Extended Properties=&quot;&quot;" command="SELECT * FROM [AllData (6)]"/>
  </connection>
  <connection id="7" xr16:uid="{1B096391-5D77-4742-9A76-A319C0D671DD}" keepAlive="1" name="查询 - AllData (7)" description="与工作簿中“AllData (7)”查询的连接。" type="5" refreshedVersion="0" background="1">
    <dbPr connection="Provider=Microsoft.Mashup.OleDb.1;Data Source=$Workbook$;Location=&quot;AllData (7)&quot;;Extended Properties=&quot;&quot;" command="SELECT * FROM [AllData (7)]"/>
  </connection>
  <connection id="8" xr16:uid="{10C553C6-5102-4AAF-BBF4-FA165E70462C}" keepAlive="1" name="查询 - AllData (8)" description="与工作簿中“AllData (8)”查询的连接。" type="5" refreshedVersion="0" background="1">
    <dbPr connection="Provider=Microsoft.Mashup.OleDb.1;Data Source=$Workbook$;Location=&quot;AllData (8)&quot;;Extended Properties=&quot;&quot;" command="SELECT * FROM [AllData (8)]"/>
  </connection>
  <connection id="9" xr16:uid="{18E9DF2C-B9B4-4247-9E86-3547AF4639B9}" keepAlive="1" name="查询 - MAX2SAT0 8 xlsx" description="与工作簿中“MAX2SAT0 8 xlsx”查询的连接。" type="5" refreshedVersion="0" background="1">
    <dbPr connection="Provider=Microsoft.Mashup.OleDb.1;Data Source=$Workbook$;Location=&quot;MAX2SAT0 8 xlsx&quot;;Extended Properties=&quot;&quot;" command="SELECT * FROM [MAX2SAT0 8 xlsx]"/>
  </connection>
</connections>
</file>

<file path=xl/sharedStrings.xml><?xml version="1.0" encoding="utf-8"?>
<sst xmlns="http://schemas.openxmlformats.org/spreadsheetml/2006/main" count="513" uniqueCount="55">
  <si>
    <t>N</t>
  </si>
  <si>
    <t>MAE_Learn</t>
  </si>
  <si>
    <t>RMSE_Learn</t>
  </si>
  <si>
    <t>MAPE_Learn</t>
  </si>
  <si>
    <t>Standard_MAE_Learn</t>
  </si>
  <si>
    <t>Standard_RMSE_Learn</t>
  </si>
  <si>
    <t>Standard_MAPE_Learn</t>
  </si>
  <si>
    <t>np.mean(Z_SATSolver_index_list)</t>
  </si>
  <si>
    <t>np.std(Z_SATSolver_index_list)</t>
  </si>
  <si>
    <t>np.mean(Num_Solved_SAT)</t>
  </si>
  <si>
    <t>np.std(Num_Solved_SAT)</t>
  </si>
  <si>
    <t>Solved_SAT_Count / (Maxcomb * NumTrail)</t>
  </si>
  <si>
    <t>np.mean(Ratio_Solved_Component)</t>
  </si>
  <si>
    <t>np.mean(Ratio_Solved_Initial)</t>
  </si>
  <si>
    <t>np.mean(Ratio_Solved_Initial_Satisfied)</t>
  </si>
  <si>
    <t>np.mean(Ratio_Solved_Red)</t>
  </si>
  <si>
    <t>np.mean(Ratio_Solved_Red_Satisfied)</t>
  </si>
  <si>
    <t>np.mean(Ratio_Solved_Tse)</t>
  </si>
  <si>
    <t>np.mean(Ratio_Solved_Tse_Satisfied)</t>
  </si>
  <si>
    <t>np.mean(Ratio_Solved_After)</t>
  </si>
  <si>
    <t>np.mean(Ratio_Solved_After_Satisfied)</t>
  </si>
  <si>
    <t>MAE_Energy</t>
  </si>
  <si>
    <t>Ratio of global minimum solutions</t>
  </si>
  <si>
    <t>Ratio of local minimum solutions</t>
  </si>
  <si>
    <t>np.mean(Similarity_list_J_Initial)</t>
  </si>
  <si>
    <t>np.std(Similarity_list_J_Initial)</t>
  </si>
  <si>
    <t>np.mean(Similarity_list_H_Initial)</t>
  </si>
  <si>
    <t>np.std(Similarity_list_H_Initial)</t>
  </si>
  <si>
    <t>np.mean(Similarity_list_J_Red)</t>
  </si>
  <si>
    <t>np.std(Similarity_list_J_Red)</t>
  </si>
  <si>
    <t>np.mean(Similarity_list_H_Red)</t>
  </si>
  <si>
    <t>np.std(Similarity_list_H_Red)</t>
  </si>
  <si>
    <t>np.mean(Similarity_list_J_Tse)</t>
  </si>
  <si>
    <t>np.std(Similarity_list_J_Tse)</t>
  </si>
  <si>
    <t>np.mean(Similarity_list_H_Tse)</t>
  </si>
  <si>
    <t>np.std(Similarity_list_H_Tse)</t>
  </si>
  <si>
    <t>np.mean(Similarity_list_J_After)</t>
  </si>
  <si>
    <t>np.std(Similarity_list_J_After)</t>
  </si>
  <si>
    <t>np.mean(Similarity_list_H_After)</t>
  </si>
  <si>
    <t>np.std(Similarity_list_H_After)</t>
  </si>
  <si>
    <t>N</t>
    <phoneticPr fontId="2" type="noConversion"/>
  </si>
  <si>
    <t>np.mean(Z_SATSolver_index_list)</t>
    <phoneticPr fontId="2" type="noConversion"/>
  </si>
  <si>
    <t>np.mean(Ratio_Solved_Initial)</t>
    <phoneticPr fontId="2" type="noConversion"/>
  </si>
  <si>
    <t>Case-1</t>
  </si>
  <si>
    <t>Case-2</t>
  </si>
  <si>
    <t>Case-3</t>
  </si>
  <si>
    <t>Case-4</t>
  </si>
  <si>
    <t>Case-5</t>
  </si>
  <si>
    <t>Case-6</t>
  </si>
  <si>
    <t>Case-1</t>
    <phoneticPr fontId="2" type="noConversion"/>
  </si>
  <si>
    <t>Case-2</t>
    <phoneticPr fontId="2" type="noConversion"/>
  </si>
  <si>
    <t>Case-3</t>
    <phoneticPr fontId="2" type="noConversion"/>
  </si>
  <si>
    <t>Case-4</t>
    <phoneticPr fontId="2" type="noConversion"/>
  </si>
  <si>
    <t>Case-5</t>
    <phoneticPr fontId="2" type="noConversion"/>
  </si>
  <si>
    <t>Case-6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</si>
</sst>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onnections" Target="connection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43460A6-91AA-42E0-B724-EC7181D4C506}" autoFormatId="16" applyNumberFormats="0" applyBorderFormats="0" applyFontFormats="0" applyPatternFormats="0" applyAlignmentFormats="0" applyWidthHeightFormats="0">
  <queryTableRefresh nextId="41">
    <queryTableFields count="40">
      <queryTableField id="1" name="N" tableColumnId="1"/>
      <queryTableField id="2" name="MAE_Learn" tableColumnId="2"/>
      <queryTableField id="3" name="RMSE_Learn" tableColumnId="3"/>
      <queryTableField id="4" name="MAPE_Learn" tableColumnId="4"/>
      <queryTableField id="5" name="Standard_MAE_Learn" tableColumnId="5"/>
      <queryTableField id="6" name="Standard_RMSE_Learn" tableColumnId="6"/>
      <queryTableField id="7" name="Standard_MAPE_Learn" tableColumnId="7"/>
      <queryTableField id="8" name="np.mean(Z_SATSolver_index_list)" tableColumnId="8"/>
      <queryTableField id="9" name="np.std(Z_SATSolver_index_list)" tableColumnId="9"/>
      <queryTableField id="10" name="np.mean(Num_Solved_SAT)" tableColumnId="10"/>
      <queryTableField id="11" name="np.std(Num_Solved_SAT)" tableColumnId="11"/>
      <queryTableField id="12" name="Solved_SAT_Count / (Maxcomb * NumTrail)" tableColumnId="12"/>
      <queryTableField id="13" name="np.mean(Ratio_Solved_Component)" tableColumnId="13"/>
      <queryTableField id="14" name="np.mean(Ratio_Solved_Initial)" tableColumnId="14"/>
      <queryTableField id="15" name="np.mean(Ratio_Solved_Initial_Satisfied)" tableColumnId="15"/>
      <queryTableField id="16" name="np.mean(Ratio_Solved_Red)" tableColumnId="16"/>
      <queryTableField id="17" name="np.mean(Ratio_Solved_Red_Satisfied)" tableColumnId="17"/>
      <queryTableField id="18" name="np.mean(Ratio_Solved_Tse)" tableColumnId="18"/>
      <queryTableField id="19" name="np.mean(Ratio_Solved_Tse_Satisfied)" tableColumnId="19"/>
      <queryTableField id="20" name="np.mean(Ratio_Solved_After)" tableColumnId="20"/>
      <queryTableField id="21" name="np.mean(Ratio_Solved_After_Satisfied)" tableColumnId="21"/>
      <queryTableField id="22" name="MAE_Energy" tableColumnId="22"/>
      <queryTableField id="23" name="Ratio of global minimum solutions" tableColumnId="23"/>
      <queryTableField id="24" name="Ratio of local minimum solutions" tableColumnId="24"/>
      <queryTableField id="25" name="np.mean(Similarity_list_J_Initial)" tableColumnId="25"/>
      <queryTableField id="26" name="np.std(Similarity_list_J_Initial)" tableColumnId="26"/>
      <queryTableField id="27" name="np.mean(Similarity_list_H_Initial)" tableColumnId="27"/>
      <queryTableField id="28" name="np.std(Similarity_list_H_Initial)" tableColumnId="28"/>
      <queryTableField id="29" name="np.mean(Similarity_list_J_Red)" tableColumnId="29"/>
      <queryTableField id="30" name="np.std(Similarity_list_J_Red)" tableColumnId="30"/>
      <queryTableField id="31" name="np.mean(Similarity_list_H_Red)" tableColumnId="31"/>
      <queryTableField id="32" name="np.std(Similarity_list_H_Red)" tableColumnId="32"/>
      <queryTableField id="33" name="np.mean(Similarity_list_J_Tse)" tableColumnId="33"/>
      <queryTableField id="34" name="np.std(Similarity_list_J_Tse)" tableColumnId="34"/>
      <queryTableField id="35" name="np.mean(Similarity_list_H_Tse)" tableColumnId="35"/>
      <queryTableField id="36" name="np.std(Similarity_list_H_Tse)" tableColumnId="36"/>
      <queryTableField id="37" name="np.mean(Similarity_list_J_After)" tableColumnId="37"/>
      <queryTableField id="38" name="np.std(Similarity_list_J_After)" tableColumnId="38"/>
      <queryTableField id="39" name="np.mean(Similarity_list_H_After)" tableColumnId="39"/>
      <queryTableField id="40" name="np.std(Similarity_list_H_After)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1A4C39E-0170-4B38-9212-D16E6177267B}" autoFormatId="16" applyNumberFormats="0" applyBorderFormats="0" applyFontFormats="0" applyPatternFormats="0" applyAlignmentFormats="0" applyWidthHeightFormats="0">
  <queryTableRefresh nextId="41">
    <queryTableFields count="40">
      <queryTableField id="1" name="N" tableColumnId="1"/>
      <queryTableField id="2" name="MAE_Learn" tableColumnId="2"/>
      <queryTableField id="3" name="RMSE_Learn" tableColumnId="3"/>
      <queryTableField id="4" name="MAPE_Learn" tableColumnId="4"/>
      <queryTableField id="5" name="Standard_MAE_Learn" tableColumnId="5"/>
      <queryTableField id="6" name="Standard_RMSE_Learn" tableColumnId="6"/>
      <queryTableField id="7" name="Standard_MAPE_Learn" tableColumnId="7"/>
      <queryTableField id="8" name="np.mean(Z_SATSolver_index_list)" tableColumnId="8"/>
      <queryTableField id="9" name="np.std(Z_SATSolver_index_list)" tableColumnId="9"/>
      <queryTableField id="10" name="np.mean(Num_Solved_SAT)" tableColumnId="10"/>
      <queryTableField id="11" name="np.std(Num_Solved_SAT)" tableColumnId="11"/>
      <queryTableField id="12" name="Solved_SAT_Count / (Maxcomb * NumTrail)" tableColumnId="12"/>
      <queryTableField id="13" name="np.mean(Ratio_Solved_Component)" tableColumnId="13"/>
      <queryTableField id="14" name="np.mean(Ratio_Solved_Initial)" tableColumnId="14"/>
      <queryTableField id="15" name="np.mean(Ratio_Solved_Initial_Satisfied)" tableColumnId="15"/>
      <queryTableField id="16" name="np.mean(Ratio_Solved_Red)" tableColumnId="16"/>
      <queryTableField id="17" name="np.mean(Ratio_Solved_Red_Satisfied)" tableColumnId="17"/>
      <queryTableField id="18" name="np.mean(Ratio_Solved_Tse)" tableColumnId="18"/>
      <queryTableField id="19" name="np.mean(Ratio_Solved_Tse_Satisfied)" tableColumnId="19"/>
      <queryTableField id="20" name="np.mean(Ratio_Solved_After)" tableColumnId="20"/>
      <queryTableField id="21" name="np.mean(Ratio_Solved_After_Satisfied)" tableColumnId="21"/>
      <queryTableField id="22" name="MAE_Energy" tableColumnId="22"/>
      <queryTableField id="23" name="Ratio of global minimum solutions" tableColumnId="23"/>
      <queryTableField id="24" name="Ratio of local minimum solutions" tableColumnId="24"/>
      <queryTableField id="25" name="np.mean(Similarity_list_J_Initial)" tableColumnId="25"/>
      <queryTableField id="26" name="np.std(Similarity_list_J_Initial)" tableColumnId="26"/>
      <queryTableField id="27" name="np.mean(Similarity_list_H_Initial)" tableColumnId="27"/>
      <queryTableField id="28" name="np.std(Similarity_list_H_Initial)" tableColumnId="28"/>
      <queryTableField id="29" name="np.mean(Similarity_list_J_Red)" tableColumnId="29"/>
      <queryTableField id="30" name="np.std(Similarity_list_J_Red)" tableColumnId="30"/>
      <queryTableField id="31" name="np.mean(Similarity_list_H_Red)" tableColumnId="31"/>
      <queryTableField id="32" name="np.std(Similarity_list_H_Red)" tableColumnId="32"/>
      <queryTableField id="33" name="np.mean(Similarity_list_J_Tse)" tableColumnId="33"/>
      <queryTableField id="34" name="np.std(Similarity_list_J_Tse)" tableColumnId="34"/>
      <queryTableField id="35" name="np.mean(Similarity_list_H_Tse)" tableColumnId="35"/>
      <queryTableField id="36" name="np.std(Similarity_list_H_Tse)" tableColumnId="36"/>
      <queryTableField id="37" name="np.mean(Similarity_list_J_After)" tableColumnId="37"/>
      <queryTableField id="38" name="np.std(Similarity_list_J_After)" tableColumnId="38"/>
      <queryTableField id="39" name="np.mean(Similarity_list_H_After)" tableColumnId="39"/>
      <queryTableField id="40" name="np.std(Similarity_list_H_After)" tableColumnId="4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6F589DF-2088-415B-B7DF-9304C309A250}" autoFormatId="16" applyNumberFormats="0" applyBorderFormats="0" applyFontFormats="0" applyPatternFormats="0" applyAlignmentFormats="0" applyWidthHeightFormats="0">
  <queryTableRefresh nextId="41">
    <queryTableFields count="40">
      <queryTableField id="1" name="N" tableColumnId="1"/>
      <queryTableField id="2" name="MAE_Learn" tableColumnId="2"/>
      <queryTableField id="3" name="RMSE_Learn" tableColumnId="3"/>
      <queryTableField id="4" name="MAPE_Learn" tableColumnId="4"/>
      <queryTableField id="5" name="Standard_MAE_Learn" tableColumnId="5"/>
      <queryTableField id="6" name="Standard_RMSE_Learn" tableColumnId="6"/>
      <queryTableField id="7" name="Standard_MAPE_Learn" tableColumnId="7"/>
      <queryTableField id="8" name="np.mean(Z_SATSolver_index_list)" tableColumnId="8"/>
      <queryTableField id="9" name="np.std(Z_SATSolver_index_list)" tableColumnId="9"/>
      <queryTableField id="10" name="np.mean(Num_Solved_SAT)" tableColumnId="10"/>
      <queryTableField id="11" name="np.std(Num_Solved_SAT)" tableColumnId="11"/>
      <queryTableField id="12" name="Solved_SAT_Count / (Maxcomb * NumTrail)" tableColumnId="12"/>
      <queryTableField id="13" name="np.mean(Ratio_Solved_Component)" tableColumnId="13"/>
      <queryTableField id="14" name="np.mean(Ratio_Solved_Initial)" tableColumnId="14"/>
      <queryTableField id="15" name="np.mean(Ratio_Solved_Initial_Satisfied)" tableColumnId="15"/>
      <queryTableField id="16" name="np.mean(Ratio_Solved_Red)" tableColumnId="16"/>
      <queryTableField id="17" name="np.mean(Ratio_Solved_Red_Satisfied)" tableColumnId="17"/>
      <queryTableField id="18" name="np.mean(Ratio_Solved_Tse)" tableColumnId="18"/>
      <queryTableField id="19" name="np.mean(Ratio_Solved_Tse_Satisfied)" tableColumnId="19"/>
      <queryTableField id="20" name="np.mean(Ratio_Solved_After)" tableColumnId="20"/>
      <queryTableField id="21" name="np.mean(Ratio_Solved_After_Satisfied)" tableColumnId="21"/>
      <queryTableField id="22" name="MAE_Energy" tableColumnId="22"/>
      <queryTableField id="23" name="Ratio of global minimum solutions" tableColumnId="23"/>
      <queryTableField id="24" name="Ratio of local minimum solutions" tableColumnId="24"/>
      <queryTableField id="25" name="np.mean(Similarity_list_J_Initial)" tableColumnId="25"/>
      <queryTableField id="26" name="np.std(Similarity_list_J_Initial)" tableColumnId="26"/>
      <queryTableField id="27" name="np.mean(Similarity_list_H_Initial)" tableColumnId="27"/>
      <queryTableField id="28" name="np.std(Similarity_list_H_Initial)" tableColumnId="28"/>
      <queryTableField id="29" name="np.mean(Similarity_list_J_Red)" tableColumnId="29"/>
      <queryTableField id="30" name="np.std(Similarity_list_J_Red)" tableColumnId="30"/>
      <queryTableField id="31" name="np.mean(Similarity_list_H_Red)" tableColumnId="31"/>
      <queryTableField id="32" name="np.std(Similarity_list_H_Red)" tableColumnId="32"/>
      <queryTableField id="33" name="np.mean(Similarity_list_J_Tse)" tableColumnId="33"/>
      <queryTableField id="34" name="np.std(Similarity_list_J_Tse)" tableColumnId="34"/>
      <queryTableField id="35" name="np.mean(Similarity_list_H_Tse)" tableColumnId="35"/>
      <queryTableField id="36" name="np.std(Similarity_list_H_Tse)" tableColumnId="36"/>
      <queryTableField id="37" name="np.mean(Similarity_list_J_After)" tableColumnId="37"/>
      <queryTableField id="38" name="np.std(Similarity_list_J_After)" tableColumnId="38"/>
      <queryTableField id="39" name="np.mean(Similarity_list_H_After)" tableColumnId="39"/>
      <queryTableField id="40" name="np.std(Similarity_list_H_After)" tableColumnId="4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9682CE7-A52A-4706-9EBE-188450BF6485}" autoFormatId="16" applyNumberFormats="0" applyBorderFormats="0" applyFontFormats="0" applyPatternFormats="0" applyAlignmentFormats="0" applyWidthHeightFormats="0">
  <queryTableRefresh nextId="41">
    <queryTableFields count="40">
      <queryTableField id="1" name="N" tableColumnId="1"/>
      <queryTableField id="2" name="MAE_Learn" tableColumnId="2"/>
      <queryTableField id="3" name="RMSE_Learn" tableColumnId="3"/>
      <queryTableField id="4" name="MAPE_Learn" tableColumnId="4"/>
      <queryTableField id="5" name="Standard_MAE_Learn" tableColumnId="5"/>
      <queryTableField id="6" name="Standard_RMSE_Learn" tableColumnId="6"/>
      <queryTableField id="7" name="Standard_MAPE_Learn" tableColumnId="7"/>
      <queryTableField id="8" name="np.mean(Z_SATSolver_index_list)" tableColumnId="8"/>
      <queryTableField id="9" name="np.std(Z_SATSolver_index_list)" tableColumnId="9"/>
      <queryTableField id="10" name="np.mean(Num_Solved_SAT)" tableColumnId="10"/>
      <queryTableField id="11" name="np.std(Num_Solved_SAT)" tableColumnId="11"/>
      <queryTableField id="12" name="Solved_SAT_Count / (Maxcomb * NumTrail)" tableColumnId="12"/>
      <queryTableField id="13" name="np.mean(Ratio_Solved_Component)" tableColumnId="13"/>
      <queryTableField id="14" name="np.mean(Ratio_Solved_Initial)" tableColumnId="14"/>
      <queryTableField id="15" name="np.mean(Ratio_Solved_Initial_Satisfied)" tableColumnId="15"/>
      <queryTableField id="16" name="np.mean(Ratio_Solved_Red)" tableColumnId="16"/>
      <queryTableField id="17" name="np.mean(Ratio_Solved_Red_Satisfied)" tableColumnId="17"/>
      <queryTableField id="18" name="np.mean(Ratio_Solved_Tse)" tableColumnId="18"/>
      <queryTableField id="19" name="np.mean(Ratio_Solved_Tse_Satisfied)" tableColumnId="19"/>
      <queryTableField id="20" name="np.mean(Ratio_Solved_After)" tableColumnId="20"/>
      <queryTableField id="21" name="np.mean(Ratio_Solved_After_Satisfied)" tableColumnId="21"/>
      <queryTableField id="22" name="MAE_Energy" tableColumnId="22"/>
      <queryTableField id="23" name="Ratio of global minimum solutions" tableColumnId="23"/>
      <queryTableField id="24" name="Ratio of local minimum solutions" tableColumnId="24"/>
      <queryTableField id="25" name="np.mean(Similarity_list_J_Initial)" tableColumnId="25"/>
      <queryTableField id="26" name="np.std(Similarity_list_J_Initial)" tableColumnId="26"/>
      <queryTableField id="27" name="np.mean(Similarity_list_H_Initial)" tableColumnId="27"/>
      <queryTableField id="28" name="np.std(Similarity_list_H_Initial)" tableColumnId="28"/>
      <queryTableField id="29" name="np.mean(Similarity_list_J_Red)" tableColumnId="29"/>
      <queryTableField id="30" name="np.std(Similarity_list_J_Red)" tableColumnId="30"/>
      <queryTableField id="31" name="np.mean(Similarity_list_H_Red)" tableColumnId="31"/>
      <queryTableField id="32" name="np.std(Similarity_list_H_Red)" tableColumnId="32"/>
      <queryTableField id="33" name="np.mean(Similarity_list_J_Tse)" tableColumnId="33"/>
      <queryTableField id="34" name="np.std(Similarity_list_J_Tse)" tableColumnId="34"/>
      <queryTableField id="35" name="np.mean(Similarity_list_H_Tse)" tableColumnId="35"/>
      <queryTableField id="36" name="np.std(Similarity_list_H_Tse)" tableColumnId="36"/>
      <queryTableField id="37" name="np.mean(Similarity_list_J_After)" tableColumnId="37"/>
      <queryTableField id="38" name="np.std(Similarity_list_J_After)" tableColumnId="38"/>
      <queryTableField id="39" name="np.mean(Similarity_list_H_After)" tableColumnId="39"/>
      <queryTableField id="40" name="np.std(Similarity_list_H_After)" tableColumnId="4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857E189-0B01-48D4-A94B-69F5AA35C8F8}" autoFormatId="16" applyNumberFormats="0" applyBorderFormats="0" applyFontFormats="0" applyPatternFormats="0" applyAlignmentFormats="0" applyWidthHeightFormats="0">
  <queryTableRefresh nextId="41">
    <queryTableFields count="40">
      <queryTableField id="1" name="N" tableColumnId="1"/>
      <queryTableField id="2" name="MAE_Learn" tableColumnId="2"/>
      <queryTableField id="3" name="RMSE_Learn" tableColumnId="3"/>
      <queryTableField id="4" name="MAPE_Learn" tableColumnId="4"/>
      <queryTableField id="5" name="Standard_MAE_Learn" tableColumnId="5"/>
      <queryTableField id="6" name="Standard_RMSE_Learn" tableColumnId="6"/>
      <queryTableField id="7" name="Standard_MAPE_Learn" tableColumnId="7"/>
      <queryTableField id="8" name="np.mean(Z_SATSolver_index_list)" tableColumnId="8"/>
      <queryTableField id="9" name="np.std(Z_SATSolver_index_list)" tableColumnId="9"/>
      <queryTableField id="10" name="np.mean(Num_Solved_SAT)" tableColumnId="10"/>
      <queryTableField id="11" name="np.std(Num_Solved_SAT)" tableColumnId="11"/>
      <queryTableField id="12" name="Solved_SAT_Count / (Maxcomb * NumTrail)" tableColumnId="12"/>
      <queryTableField id="13" name="np.mean(Ratio_Solved_Component)" tableColumnId="13"/>
      <queryTableField id="14" name="np.mean(Ratio_Solved_Initial)" tableColumnId="14"/>
      <queryTableField id="15" name="np.mean(Ratio_Solved_Initial_Satisfied)" tableColumnId="15"/>
      <queryTableField id="16" name="np.mean(Ratio_Solved_Red)" tableColumnId="16"/>
      <queryTableField id="17" name="np.mean(Ratio_Solved_Red_Satisfied)" tableColumnId="17"/>
      <queryTableField id="18" name="np.mean(Ratio_Solved_Tse)" tableColumnId="18"/>
      <queryTableField id="19" name="np.mean(Ratio_Solved_Tse_Satisfied)" tableColumnId="19"/>
      <queryTableField id="20" name="np.mean(Ratio_Solved_After)" tableColumnId="20"/>
      <queryTableField id="21" name="np.mean(Ratio_Solved_After_Satisfied)" tableColumnId="21"/>
      <queryTableField id="22" name="MAE_Energy" tableColumnId="22"/>
      <queryTableField id="23" name="Ratio of global minimum solutions" tableColumnId="23"/>
      <queryTableField id="24" name="Ratio of local minimum solutions" tableColumnId="24"/>
      <queryTableField id="25" name="np.mean(Similarity_list_J_Initial)" tableColumnId="25"/>
      <queryTableField id="26" name="np.std(Similarity_list_J_Initial)" tableColumnId="26"/>
      <queryTableField id="27" name="np.mean(Similarity_list_H_Initial)" tableColumnId="27"/>
      <queryTableField id="28" name="np.std(Similarity_list_H_Initial)" tableColumnId="28"/>
      <queryTableField id="29" name="np.mean(Similarity_list_J_Red)" tableColumnId="29"/>
      <queryTableField id="30" name="np.std(Similarity_list_J_Red)" tableColumnId="30"/>
      <queryTableField id="31" name="np.mean(Similarity_list_H_Red)" tableColumnId="31"/>
      <queryTableField id="32" name="np.std(Similarity_list_H_Red)" tableColumnId="32"/>
      <queryTableField id="33" name="np.mean(Similarity_list_J_Tse)" tableColumnId="33"/>
      <queryTableField id="34" name="np.std(Similarity_list_J_Tse)" tableColumnId="34"/>
      <queryTableField id="35" name="np.mean(Similarity_list_H_Tse)" tableColumnId="35"/>
      <queryTableField id="36" name="np.std(Similarity_list_H_Tse)" tableColumnId="36"/>
      <queryTableField id="37" name="np.mean(Similarity_list_J_After)" tableColumnId="37"/>
      <queryTableField id="38" name="np.std(Similarity_list_J_After)" tableColumnId="38"/>
      <queryTableField id="39" name="np.mean(Similarity_list_H_After)" tableColumnId="39"/>
      <queryTableField id="40" name="np.std(Similarity_list_H_After)" tableColumnId="4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E45BB-EBA7-4029-AD80-29022E8FC891}" name="MAX2SAT" displayName="MAX2SAT" ref="A1:AN21" totalsRowShown="0" headerRowDxfId="2" headerRowBorderDxfId="1" tableBorderDxfId="0">
  <autoFilter ref="A1:AN21" xr:uid="{970E45BB-EBA7-4029-AD80-29022E8FC891}"/>
  <tableColumns count="40">
    <tableColumn id="1" xr3:uid="{30D22FFD-A7E5-4396-8B5C-C4AF5AAF4CA4}" name="N"/>
    <tableColumn id="2" xr3:uid="{79D72DAB-022A-4F12-8456-D390D337D3A6}" name="MAE_Learn"/>
    <tableColumn id="3" xr3:uid="{42F67EEE-350A-44E7-A31C-A48AE65C40E8}" name="RMSE_Learn"/>
    <tableColumn id="4" xr3:uid="{E5CB6F03-5813-4383-BCD4-5C25B7513D79}" name="MAPE_Learn"/>
    <tableColumn id="5" xr3:uid="{482E0022-2E35-4F73-9E87-FE11E1E2B89D}" name="Standard_MAE_Learn"/>
    <tableColumn id="6" xr3:uid="{37E48731-055A-44BE-BCF6-14BA548B2542}" name="Standard_RMSE_Learn"/>
    <tableColumn id="7" xr3:uid="{35BD3C20-848F-4266-B70D-3B77F85C4F3D}" name="Standard_MAPE_Learn"/>
    <tableColumn id="8" xr3:uid="{AA82A843-AB8B-4EDA-8B6A-02F0A96CD56C}" name="np.mean(Z_SATSolver_index_list)"/>
    <tableColumn id="9" xr3:uid="{DFB968FF-692F-4AA3-BDC0-146326C7F8CB}" name="np.std(Z_SATSolver_index_list)"/>
    <tableColumn id="10" xr3:uid="{B67F00FA-4AC3-46C7-8DF6-4F8F2AF1F7D2}" name="np.mean(Num_Solved_SAT)"/>
    <tableColumn id="11" xr3:uid="{156E008D-5D82-4631-947E-0AB0A561197F}" name="np.std(Num_Solved_SAT)"/>
    <tableColumn id="12" xr3:uid="{3EFD8A9B-D36B-4377-BFAB-C468B1EBC16F}" name="Solved_SAT_Count / (Maxcomb * NumTrail)"/>
    <tableColumn id="13" xr3:uid="{3859BD68-0448-4A22-BED4-87481EE6ACDA}" name="np.mean(Ratio_Solved_Component)"/>
    <tableColumn id="14" xr3:uid="{89594741-D672-4C6E-BD19-6BDF290BA781}" name="np.mean(Ratio_Solved_Initial)"/>
    <tableColumn id="15" xr3:uid="{D89ADF17-DFDF-4F3B-92CA-97169F316ABE}" name="np.mean(Ratio_Solved_Initial_Satisfied)"/>
    <tableColumn id="16" xr3:uid="{04555DE0-8F74-435B-BF06-E5C444517D5A}" name="np.mean(Ratio_Solved_Red)"/>
    <tableColumn id="17" xr3:uid="{B882F15C-BC97-4A89-B7CB-11FA7BAF1E4B}" name="np.mean(Ratio_Solved_Red_Satisfied)"/>
    <tableColumn id="18" xr3:uid="{333FFFC8-254E-48E2-9496-42F84B5B558B}" name="np.mean(Ratio_Solved_Tse)"/>
    <tableColumn id="19" xr3:uid="{4C6DE9B6-3CEA-40AF-AF86-67DADD3E5BB6}" name="np.mean(Ratio_Solved_Tse_Satisfied)"/>
    <tableColumn id="20" xr3:uid="{55C3CD6B-B960-412C-98CD-93294C3E7305}" name="np.mean(Ratio_Solved_After)"/>
    <tableColumn id="21" xr3:uid="{4903BAC9-67B4-49AC-BEB2-36F2C8D5FA2B}" name="np.mean(Ratio_Solved_After_Satisfied)"/>
    <tableColumn id="22" xr3:uid="{7BDDDAF3-FD04-468B-B846-78AF5658F156}" name="MAE_Energy"/>
    <tableColumn id="23" xr3:uid="{B364710C-5BB9-4573-9622-B090BED07977}" name="Ratio of global minimum solutions"/>
    <tableColumn id="24" xr3:uid="{CD7525DE-21E9-40CC-AD80-72B1A651134D}" name="Ratio of local minimum solutions"/>
    <tableColumn id="25" xr3:uid="{F6A3E9BF-7403-4E87-9379-16492413096E}" name="np.mean(Similarity_list_J_Initial)"/>
    <tableColumn id="26" xr3:uid="{A3FBB780-E6AC-4BF6-856E-AADBB242EA8C}" name="np.std(Similarity_list_J_Initial)"/>
    <tableColumn id="27" xr3:uid="{1C6C53F1-C03E-49E6-BECC-8CEC4106586B}" name="np.mean(Similarity_list_H_Initial)"/>
    <tableColumn id="28" xr3:uid="{3E6024E2-00EF-4EEB-8E15-AEF94047ABB7}" name="np.std(Similarity_list_H_Initial)"/>
    <tableColumn id="29" xr3:uid="{2722AB0C-8D7C-4C16-A7DF-5B99EDB8AC5E}" name="np.mean(Similarity_list_J_Red)"/>
    <tableColumn id="30" xr3:uid="{7DCCD412-41A8-4A86-9E90-A1D7E7CBF7B9}" name="np.std(Similarity_list_J_Red)"/>
    <tableColumn id="31" xr3:uid="{C5561E81-1A1E-4763-8976-AD0772D7CA3B}" name="np.mean(Similarity_list_H_Red)"/>
    <tableColumn id="32" xr3:uid="{CEB50B09-20B8-4BC9-ABDF-4F4DC00A9FB9}" name="np.std(Similarity_list_H_Red)"/>
    <tableColumn id="33" xr3:uid="{69A19981-2519-443C-8A7D-4E71033F30F8}" name="np.mean(Similarity_list_J_Tse)"/>
    <tableColumn id="34" xr3:uid="{41F4A695-387E-4580-BF5D-0873B8575965}" name="np.std(Similarity_list_J_Tse)"/>
    <tableColumn id="35" xr3:uid="{7D214721-4F0A-450A-9CAE-5BB54D4895D4}" name="np.mean(Similarity_list_H_Tse)"/>
    <tableColumn id="36" xr3:uid="{A1D7E507-874A-433D-86C3-4C0B8CB37702}" name="np.std(Similarity_list_H_Tse)"/>
    <tableColumn id="37" xr3:uid="{102FC8BA-D918-4DDB-9271-C3F7232BBE8E}" name="np.mean(Similarity_list_J_After)"/>
    <tableColumn id="38" xr3:uid="{CBB7EB31-9FCC-4C56-AA42-9C74861066FC}" name="np.std(Similarity_list_J_After)"/>
    <tableColumn id="39" xr3:uid="{215B1AC4-25CF-4640-8A79-684454D783A2}" name="np.mean(Similarity_list_H_After)"/>
    <tableColumn id="40" xr3:uid="{57B30C9B-F285-4BC5-9EEE-798D6CD0863A}" name="np.std(Similarity_list_H_After)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479F2-A1AF-4C7D-AAAC-D23A06AE3F89}" name="MAX2SAT0.2" displayName="MAX2SAT0.2" ref="A1:AN21" tableType="queryTable" totalsRowShown="0">
  <autoFilter ref="A1:AN21" xr:uid="{56F479F2-A1AF-4C7D-AAAC-D23A06AE3F89}"/>
  <tableColumns count="40">
    <tableColumn id="1" xr3:uid="{F771EF94-7529-4B12-A775-1517FCB54E97}" uniqueName="1" name="N" queryTableFieldId="1"/>
    <tableColumn id="2" xr3:uid="{25E8F07F-FC0B-4939-B01D-E41B023615F3}" uniqueName="2" name="MAE_Learn" queryTableFieldId="2"/>
    <tableColumn id="3" xr3:uid="{98AF0381-016D-45EB-A4E4-E715EFDCE8E6}" uniqueName="3" name="RMSE_Learn" queryTableFieldId="3"/>
    <tableColumn id="4" xr3:uid="{40CA7702-BD6E-4C12-B843-4EAA84C0A1C6}" uniqueName="4" name="MAPE_Learn" queryTableFieldId="4"/>
    <tableColumn id="5" xr3:uid="{4913A989-F001-4BE1-892C-44560BAFD5B0}" uniqueName="5" name="Standard_MAE_Learn" queryTableFieldId="5"/>
    <tableColumn id="6" xr3:uid="{E7F9B3F9-B7E1-4BF7-B77C-C1641FA9373E}" uniqueName="6" name="Standard_RMSE_Learn" queryTableFieldId="6"/>
    <tableColumn id="7" xr3:uid="{CC6CE883-6072-4054-AD56-1F667ADFB501}" uniqueName="7" name="Standard_MAPE_Learn" queryTableFieldId="7"/>
    <tableColumn id="8" xr3:uid="{E355B5E7-FC2C-405D-A38D-42493FD147E1}" uniqueName="8" name="np.mean(Z_SATSolver_index_list)" queryTableFieldId="8"/>
    <tableColumn id="9" xr3:uid="{C87EEA08-8298-4C44-905A-38AABA691A8C}" uniqueName="9" name="np.std(Z_SATSolver_index_list)" queryTableFieldId="9"/>
    <tableColumn id="10" xr3:uid="{3FF67BBB-B7A5-418F-95DF-9270E988584B}" uniqueName="10" name="np.mean(Num_Solved_SAT)" queryTableFieldId="10"/>
    <tableColumn id="11" xr3:uid="{96327E97-073D-4707-9650-44FC8E236D87}" uniqueName="11" name="np.std(Num_Solved_SAT)" queryTableFieldId="11"/>
    <tableColumn id="12" xr3:uid="{63F8668D-8137-4384-BA09-7BF42A5B3F4F}" uniqueName="12" name="Solved_SAT_Count / (Maxcomb * NumTrail)" queryTableFieldId="12"/>
    <tableColumn id="13" xr3:uid="{CCE9FFAB-091F-455F-8145-E46E7C011901}" uniqueName="13" name="np.mean(Ratio_Solved_Component)" queryTableFieldId="13"/>
    <tableColumn id="14" xr3:uid="{25DCB3CC-1BE6-4DE9-9461-26D32A4BAF1B}" uniqueName="14" name="np.mean(Ratio_Solved_Initial)" queryTableFieldId="14"/>
    <tableColumn id="15" xr3:uid="{B1A39E3F-F5DB-4CF3-BB79-3DEFF720D70F}" uniqueName="15" name="np.mean(Ratio_Solved_Initial_Satisfied)" queryTableFieldId="15"/>
    <tableColumn id="16" xr3:uid="{EECC0A22-AA0B-4614-9817-E223BEB3E17D}" uniqueName="16" name="np.mean(Ratio_Solved_Red)" queryTableFieldId="16"/>
    <tableColumn id="17" xr3:uid="{E259D995-5FCB-4767-AD4E-78E54217767F}" uniqueName="17" name="np.mean(Ratio_Solved_Red_Satisfied)" queryTableFieldId="17"/>
    <tableColumn id="18" xr3:uid="{0964B1D5-BF95-424B-9EDA-89177DDAF78E}" uniqueName="18" name="np.mean(Ratio_Solved_Tse)" queryTableFieldId="18"/>
    <tableColumn id="19" xr3:uid="{4B055C3F-48A9-4E45-AD3B-DF2A17DA926C}" uniqueName="19" name="np.mean(Ratio_Solved_Tse_Satisfied)" queryTableFieldId="19"/>
    <tableColumn id="20" xr3:uid="{C1962D06-DD98-496B-ABF2-C5C371158C1A}" uniqueName="20" name="np.mean(Ratio_Solved_After)" queryTableFieldId="20"/>
    <tableColumn id="21" xr3:uid="{7EC6BB25-175D-403E-89EE-E4513EF469E6}" uniqueName="21" name="np.mean(Ratio_Solved_After_Satisfied)" queryTableFieldId="21"/>
    <tableColumn id="22" xr3:uid="{AB1CE96B-7812-4865-B5B8-5CBD27F80B36}" uniqueName="22" name="MAE_Energy" queryTableFieldId="22"/>
    <tableColumn id="23" xr3:uid="{E80428CF-2D99-443A-BFC6-39900D86560A}" uniqueName="23" name="Ratio of global minimum solutions" queryTableFieldId="23"/>
    <tableColumn id="24" xr3:uid="{7230DA90-9C7D-4F60-A156-361F9424C98F}" uniqueName="24" name="Ratio of local minimum solutions" queryTableFieldId="24"/>
    <tableColumn id="25" xr3:uid="{231A11E9-F00D-41F0-81A2-2747744E33DE}" uniqueName="25" name="np.mean(Similarity_list_J_Initial)" queryTableFieldId="25"/>
    <tableColumn id="26" xr3:uid="{FA1760C3-6EDC-43F0-BF92-D1806CBBF610}" uniqueName="26" name="np.std(Similarity_list_J_Initial)" queryTableFieldId="26"/>
    <tableColumn id="27" xr3:uid="{CA3A789D-BEF8-4CDF-A8A4-30E73F2A8F14}" uniqueName="27" name="np.mean(Similarity_list_H_Initial)" queryTableFieldId="27"/>
    <tableColumn id="28" xr3:uid="{B376FEEB-B013-4900-BE01-959306DDE848}" uniqueName="28" name="np.std(Similarity_list_H_Initial)" queryTableFieldId="28"/>
    <tableColumn id="29" xr3:uid="{B613AF57-FA31-4FF8-A3F1-C54D7F8C35BB}" uniqueName="29" name="np.mean(Similarity_list_J_Red)" queryTableFieldId="29"/>
    <tableColumn id="30" xr3:uid="{388C8F8B-4AF9-4BB0-9617-68FE3C7DF87C}" uniqueName="30" name="np.std(Similarity_list_J_Red)" queryTableFieldId="30"/>
    <tableColumn id="31" xr3:uid="{3120CFA2-EBC1-427A-A15B-B2030BAC3AFA}" uniqueName="31" name="np.mean(Similarity_list_H_Red)" queryTableFieldId="31"/>
    <tableColumn id="32" xr3:uid="{D0623622-2B30-49B4-AE4E-1AD07E409234}" uniqueName="32" name="np.std(Similarity_list_H_Red)" queryTableFieldId="32"/>
    <tableColumn id="33" xr3:uid="{64BA1CD7-0C38-4182-BB72-C60635F945A9}" uniqueName="33" name="np.mean(Similarity_list_J_Tse)" queryTableFieldId="33"/>
    <tableColumn id="34" xr3:uid="{753BFC9C-8813-4F88-906B-590564A37EAC}" uniqueName="34" name="np.std(Similarity_list_J_Tse)" queryTableFieldId="34"/>
    <tableColumn id="35" xr3:uid="{54F88A64-9616-49EE-AB7E-0854A88A2CB7}" uniqueName="35" name="np.mean(Similarity_list_H_Tse)" queryTableFieldId="35"/>
    <tableColumn id="36" xr3:uid="{72AC53BB-B0FF-47CD-9238-BAF12C0ACE39}" uniqueName="36" name="np.std(Similarity_list_H_Tse)" queryTableFieldId="36"/>
    <tableColumn id="37" xr3:uid="{91F05129-C0E9-4AEF-AAF2-5042A6EC591F}" uniqueName="37" name="np.mean(Similarity_list_J_After)" queryTableFieldId="37"/>
    <tableColumn id="38" xr3:uid="{1BAC8128-2C7C-4150-AF43-1A95B19A8CF0}" uniqueName="38" name="np.std(Similarity_list_J_After)" queryTableFieldId="38"/>
    <tableColumn id="39" xr3:uid="{C45A35A3-E0C3-4BD2-A3DB-1A43DA50632A}" uniqueName="39" name="np.mean(Similarity_list_H_After)" queryTableFieldId="39"/>
    <tableColumn id="40" xr3:uid="{1BBD94BA-3D46-4102-866D-5BD4337A3B62}" uniqueName="40" name="np.std(Similarity_list_H_After)" queryTableFieldId="4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E99336-3A62-4DB7-A79F-D629201DD762}" name="MAX2SAT0.4" displayName="MAX2SAT0.4" ref="A1:AN21" tableType="queryTable" totalsRowShown="0">
  <autoFilter ref="A1:AN21" xr:uid="{1AE99336-3A62-4DB7-A79F-D629201DD762}"/>
  <tableColumns count="40">
    <tableColumn id="1" xr3:uid="{C76A4770-0E41-4279-AE75-FD2AF29D2763}" uniqueName="1" name="N" queryTableFieldId="1"/>
    <tableColumn id="2" xr3:uid="{E01BE249-69C2-4563-ADB6-2A6ED70A0887}" uniqueName="2" name="MAE_Learn" queryTableFieldId="2"/>
    <tableColumn id="3" xr3:uid="{7E282B67-B9F4-4139-950B-C9B6B51060D5}" uniqueName="3" name="RMSE_Learn" queryTableFieldId="3"/>
    <tableColumn id="4" xr3:uid="{690DD35A-1204-487D-9070-06391EC7029C}" uniqueName="4" name="MAPE_Learn" queryTableFieldId="4"/>
    <tableColumn id="5" xr3:uid="{AE99AA3B-7D34-44DE-941C-3EC370AA9012}" uniqueName="5" name="Standard_MAE_Learn" queryTableFieldId="5"/>
    <tableColumn id="6" xr3:uid="{2DE494DB-7F2C-4FA9-83DB-8F74265A0B2E}" uniqueName="6" name="Standard_RMSE_Learn" queryTableFieldId="6"/>
    <tableColumn id="7" xr3:uid="{8FC4811B-377C-41D0-85AD-5D431B2B8151}" uniqueName="7" name="Standard_MAPE_Learn" queryTableFieldId="7"/>
    <tableColumn id="8" xr3:uid="{34578D0B-E3C0-439F-9424-4F1C8C7BBDF4}" uniqueName="8" name="np.mean(Z_SATSolver_index_list)" queryTableFieldId="8"/>
    <tableColumn id="9" xr3:uid="{AD821001-53AA-49E1-8BC8-DF6E12A4C5FC}" uniqueName="9" name="np.std(Z_SATSolver_index_list)" queryTableFieldId="9"/>
    <tableColumn id="10" xr3:uid="{D83F0C81-C326-4061-B61C-4B3A70BBDF7C}" uniqueName="10" name="np.mean(Num_Solved_SAT)" queryTableFieldId="10"/>
    <tableColumn id="11" xr3:uid="{48A534AE-3AA5-4EA8-BE17-698231AEF969}" uniqueName="11" name="np.std(Num_Solved_SAT)" queryTableFieldId="11"/>
    <tableColumn id="12" xr3:uid="{6F0B1E3D-75D9-4064-9224-D4C889CBB654}" uniqueName="12" name="Solved_SAT_Count / (Maxcomb * NumTrail)" queryTableFieldId="12"/>
    <tableColumn id="13" xr3:uid="{CA4B2A29-28D4-4A8B-B3C4-8924CFA8843F}" uniqueName="13" name="np.mean(Ratio_Solved_Component)" queryTableFieldId="13"/>
    <tableColumn id="14" xr3:uid="{D1875EEA-0E4F-4D30-B0B7-20837CEE745D}" uniqueName="14" name="np.mean(Ratio_Solved_Initial)" queryTableFieldId="14"/>
    <tableColumn id="15" xr3:uid="{CFB12AA1-E1E1-4F9E-B2BE-DE41928260A2}" uniqueName="15" name="np.mean(Ratio_Solved_Initial_Satisfied)" queryTableFieldId="15"/>
    <tableColumn id="16" xr3:uid="{778B34C0-8AD8-4FE2-ABDF-7B35FBCA9DEA}" uniqueName="16" name="np.mean(Ratio_Solved_Red)" queryTableFieldId="16"/>
    <tableColumn id="17" xr3:uid="{39852755-5A70-4476-9280-D1CAE86D063D}" uniqueName="17" name="np.mean(Ratio_Solved_Red_Satisfied)" queryTableFieldId="17"/>
    <tableColumn id="18" xr3:uid="{3395449E-40A2-46DE-9497-E4F0559A6C18}" uniqueName="18" name="np.mean(Ratio_Solved_Tse)" queryTableFieldId="18"/>
    <tableColumn id="19" xr3:uid="{F14CF8B8-C84B-416F-9254-66B68319EC4C}" uniqueName="19" name="np.mean(Ratio_Solved_Tse_Satisfied)" queryTableFieldId="19"/>
    <tableColumn id="20" xr3:uid="{16ADBE5B-3BB1-4D95-A1B9-6C5F55A04CEE}" uniqueName="20" name="np.mean(Ratio_Solved_After)" queryTableFieldId="20"/>
    <tableColumn id="21" xr3:uid="{B1284AF0-B8EB-4883-BA2B-732DB9A75DD7}" uniqueName="21" name="np.mean(Ratio_Solved_After_Satisfied)" queryTableFieldId="21"/>
    <tableColumn id="22" xr3:uid="{659547B2-0BED-4B58-ADE2-ECC52CAF208B}" uniqueName="22" name="MAE_Energy" queryTableFieldId="22"/>
    <tableColumn id="23" xr3:uid="{CCC196C6-2F79-472B-9914-D40952BF56BE}" uniqueName="23" name="Ratio of global minimum solutions" queryTableFieldId="23"/>
    <tableColumn id="24" xr3:uid="{172A1A42-2885-46F9-9AEE-FEDC6615F22C}" uniqueName="24" name="Ratio of local minimum solutions" queryTableFieldId="24"/>
    <tableColumn id="25" xr3:uid="{8FAF1D87-CBF3-49EC-B019-7B2AF579B188}" uniqueName="25" name="np.mean(Similarity_list_J_Initial)" queryTableFieldId="25"/>
    <tableColumn id="26" xr3:uid="{8FBFA39B-857E-4CF8-BE6A-1B6B13915E01}" uniqueName="26" name="np.std(Similarity_list_J_Initial)" queryTableFieldId="26"/>
    <tableColumn id="27" xr3:uid="{40B8BBD8-747A-413A-9444-FC0CC814493D}" uniqueName="27" name="np.mean(Similarity_list_H_Initial)" queryTableFieldId="27"/>
    <tableColumn id="28" xr3:uid="{58E5E328-A408-4272-919F-C4A78F58E040}" uniqueName="28" name="np.std(Similarity_list_H_Initial)" queryTableFieldId="28"/>
    <tableColumn id="29" xr3:uid="{FF695263-E573-4B57-BA47-DB2419C9FD2D}" uniqueName="29" name="np.mean(Similarity_list_J_Red)" queryTableFieldId="29"/>
    <tableColumn id="30" xr3:uid="{6BCBC8EA-AF20-4859-91F8-5AC654577F0B}" uniqueName="30" name="np.std(Similarity_list_J_Red)" queryTableFieldId="30"/>
    <tableColumn id="31" xr3:uid="{026A4EED-A316-4868-BC56-C3D925371411}" uniqueName="31" name="np.mean(Similarity_list_H_Red)" queryTableFieldId="31"/>
    <tableColumn id="32" xr3:uid="{D20235D4-1D15-4993-9E67-14E447A0BCA1}" uniqueName="32" name="np.std(Similarity_list_H_Red)" queryTableFieldId="32"/>
    <tableColumn id="33" xr3:uid="{2DC96704-8F59-4275-99CB-00260CBEDE60}" uniqueName="33" name="np.mean(Similarity_list_J_Tse)" queryTableFieldId="33"/>
    <tableColumn id="34" xr3:uid="{37FD3CD3-6FFD-4E2A-AB76-FE56285F9647}" uniqueName="34" name="np.std(Similarity_list_J_Tse)" queryTableFieldId="34"/>
    <tableColumn id="35" xr3:uid="{84A08757-7373-46C3-83E6-4C8A0A8FD14C}" uniqueName="35" name="np.mean(Similarity_list_H_Tse)" queryTableFieldId="35"/>
    <tableColumn id="36" xr3:uid="{8DA7A4A9-AB85-4628-8B72-A8C898FBA3B8}" uniqueName="36" name="np.std(Similarity_list_H_Tse)" queryTableFieldId="36"/>
    <tableColumn id="37" xr3:uid="{4A9348A1-77C2-4AE8-8CE4-A58FA3E7F646}" uniqueName="37" name="np.mean(Similarity_list_J_After)" queryTableFieldId="37"/>
    <tableColumn id="38" xr3:uid="{FDC38F6B-EB03-4F2E-A945-8CA99DD834C7}" uniqueName="38" name="np.std(Similarity_list_J_After)" queryTableFieldId="38"/>
    <tableColumn id="39" xr3:uid="{0CE19D2E-D0CD-4420-A7D9-9C7435BB5DE8}" uniqueName="39" name="np.mean(Similarity_list_H_After)" queryTableFieldId="39"/>
    <tableColumn id="40" xr3:uid="{AB8B18B9-8B9D-478F-9E5B-2973AE33BCE7}" uniqueName="40" name="np.std(Similarity_list_H_After)" queryTableFieldId="4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AEB563-C3EE-4276-B67E-D7E01B84CA2A}" name="MAX2SAT0.6" displayName="MAX2SAT0.6" ref="A1:AN21" tableType="queryTable" totalsRowShown="0">
  <autoFilter ref="A1:AN21" xr:uid="{A4AEB563-C3EE-4276-B67E-D7E01B84CA2A}"/>
  <tableColumns count="40">
    <tableColumn id="1" xr3:uid="{D6D9DA17-6A49-43D0-A589-EF8D68809AAF}" uniqueName="1" name="N" queryTableFieldId="1"/>
    <tableColumn id="2" xr3:uid="{9D2DF750-CF0C-4924-8229-7069868BD65E}" uniqueName="2" name="MAE_Learn" queryTableFieldId="2"/>
    <tableColumn id="3" xr3:uid="{2E981656-E74E-4ACA-9B0D-B61D3DA1ABFB}" uniqueName="3" name="RMSE_Learn" queryTableFieldId="3"/>
    <tableColumn id="4" xr3:uid="{EE18B302-2A6A-476B-BAF0-568F64C87328}" uniqueName="4" name="MAPE_Learn" queryTableFieldId="4"/>
    <tableColumn id="5" xr3:uid="{60527AAF-ABAE-4B02-945E-C5AEBFE46E88}" uniqueName="5" name="Standard_MAE_Learn" queryTableFieldId="5"/>
    <tableColumn id="6" xr3:uid="{0643961F-A461-44C6-BDBB-D3AC08DE6384}" uniqueName="6" name="Standard_RMSE_Learn" queryTableFieldId="6"/>
    <tableColumn id="7" xr3:uid="{A19A4E0F-F0BC-40FF-AA5A-0084F0F35A1D}" uniqueName="7" name="Standard_MAPE_Learn" queryTableFieldId="7"/>
    <tableColumn id="8" xr3:uid="{6AD49E6D-EF92-4D3D-9952-5C85A29B3662}" uniqueName="8" name="np.mean(Z_SATSolver_index_list)" queryTableFieldId="8"/>
    <tableColumn id="9" xr3:uid="{308FCF3E-72FB-4EE0-8F7A-7CE3FAC3D4F9}" uniqueName="9" name="np.std(Z_SATSolver_index_list)" queryTableFieldId="9"/>
    <tableColumn id="10" xr3:uid="{7CCFF3A3-874C-4B9C-8D77-A8587A7AED9E}" uniqueName="10" name="np.mean(Num_Solved_SAT)" queryTableFieldId="10"/>
    <tableColumn id="11" xr3:uid="{0D62BBE5-7076-426D-92CF-6FF5BF7D92B0}" uniqueName="11" name="np.std(Num_Solved_SAT)" queryTableFieldId="11"/>
    <tableColumn id="12" xr3:uid="{2BED9B96-0C77-4DA1-A105-8A8BA95A23F3}" uniqueName="12" name="Solved_SAT_Count / (Maxcomb * NumTrail)" queryTableFieldId="12"/>
    <tableColumn id="13" xr3:uid="{98A453AF-6FA0-44C9-9FBE-7025CE6EA037}" uniqueName="13" name="np.mean(Ratio_Solved_Component)" queryTableFieldId="13"/>
    <tableColumn id="14" xr3:uid="{2DF9CE3A-14F6-43DF-9BDF-863328D6BDED}" uniqueName="14" name="np.mean(Ratio_Solved_Initial)" queryTableFieldId="14"/>
    <tableColumn id="15" xr3:uid="{39AB2225-C725-4B08-94DC-3AEA0862714C}" uniqueName="15" name="np.mean(Ratio_Solved_Initial_Satisfied)" queryTableFieldId="15"/>
    <tableColumn id="16" xr3:uid="{91B70D95-72DB-465F-BA45-D5A0022E4AA3}" uniqueName="16" name="np.mean(Ratio_Solved_Red)" queryTableFieldId="16"/>
    <tableColumn id="17" xr3:uid="{B94E858F-686E-4F97-8C4B-F3FC8DEE2123}" uniqueName="17" name="np.mean(Ratio_Solved_Red_Satisfied)" queryTableFieldId="17"/>
    <tableColumn id="18" xr3:uid="{7299F9CA-3287-4B4D-B2E9-64BD9D79978D}" uniqueName="18" name="np.mean(Ratio_Solved_Tse)" queryTableFieldId="18"/>
    <tableColumn id="19" xr3:uid="{F3458B6B-29E9-4BA0-BC70-7DFC8A7C41BA}" uniqueName="19" name="np.mean(Ratio_Solved_Tse_Satisfied)" queryTableFieldId="19"/>
    <tableColumn id="20" xr3:uid="{08443F3A-E602-4156-9DFD-9F4B206F23D3}" uniqueName="20" name="np.mean(Ratio_Solved_After)" queryTableFieldId="20"/>
    <tableColumn id="21" xr3:uid="{E04C5728-9285-4ED9-A0D5-8BCD0362CE66}" uniqueName="21" name="np.mean(Ratio_Solved_After_Satisfied)" queryTableFieldId="21"/>
    <tableColumn id="22" xr3:uid="{B8922378-1B21-4C88-8BEE-58EE70A18124}" uniqueName="22" name="MAE_Energy" queryTableFieldId="22"/>
    <tableColumn id="23" xr3:uid="{6DE8F83C-C0E4-49F1-85B4-CDA7FF616422}" uniqueName="23" name="Ratio of global minimum solutions" queryTableFieldId="23"/>
    <tableColumn id="24" xr3:uid="{87254CB6-C6FD-4C57-8A50-829D204F3178}" uniqueName="24" name="Ratio of local minimum solutions" queryTableFieldId="24"/>
    <tableColumn id="25" xr3:uid="{B4D161DB-88EC-4CB0-BE69-24CF42A71331}" uniqueName="25" name="np.mean(Similarity_list_J_Initial)" queryTableFieldId="25"/>
    <tableColumn id="26" xr3:uid="{DBA17B74-51B0-4EAE-A632-38BD2C05D556}" uniqueName="26" name="np.std(Similarity_list_J_Initial)" queryTableFieldId="26"/>
    <tableColumn id="27" xr3:uid="{9808740A-9127-4FAB-BC0B-BAA59F1A8914}" uniqueName="27" name="np.mean(Similarity_list_H_Initial)" queryTableFieldId="27"/>
    <tableColumn id="28" xr3:uid="{C7213E49-6102-48FD-8F1F-5AB481F0DA14}" uniqueName="28" name="np.std(Similarity_list_H_Initial)" queryTableFieldId="28"/>
    <tableColumn id="29" xr3:uid="{49F22E8C-A7A7-499B-9BC3-DD43F29C6B4F}" uniqueName="29" name="np.mean(Similarity_list_J_Red)" queryTableFieldId="29"/>
    <tableColumn id="30" xr3:uid="{7EC958F9-4424-4A1D-B99A-CE67C804FDC0}" uniqueName="30" name="np.std(Similarity_list_J_Red)" queryTableFieldId="30"/>
    <tableColumn id="31" xr3:uid="{691096F3-9085-4961-8FF6-3720BD891490}" uniqueName="31" name="np.mean(Similarity_list_H_Red)" queryTableFieldId="31"/>
    <tableColumn id="32" xr3:uid="{2052968F-A767-4E61-B5FD-F7AF374D16BE}" uniqueName="32" name="np.std(Similarity_list_H_Red)" queryTableFieldId="32"/>
    <tableColumn id="33" xr3:uid="{2C5988D9-7C35-4D9A-AD88-FEBD341E4C81}" uniqueName="33" name="np.mean(Similarity_list_J_Tse)" queryTableFieldId="33"/>
    <tableColumn id="34" xr3:uid="{56B818AD-6B6C-4B4B-B9CF-8D7A72896703}" uniqueName="34" name="np.std(Similarity_list_J_Tse)" queryTableFieldId="34"/>
    <tableColumn id="35" xr3:uid="{35205BD1-F8D7-4E48-9C9B-754FB8F2E7D3}" uniqueName="35" name="np.mean(Similarity_list_H_Tse)" queryTableFieldId="35"/>
    <tableColumn id="36" xr3:uid="{7D2AE10E-33E7-49FA-9222-87E757138C99}" uniqueName="36" name="np.std(Similarity_list_H_Tse)" queryTableFieldId="36"/>
    <tableColumn id="37" xr3:uid="{DC8A096F-50C5-44EF-96DE-3EAA26AC0D11}" uniqueName="37" name="np.mean(Similarity_list_J_After)" queryTableFieldId="37"/>
    <tableColumn id="38" xr3:uid="{850F3073-51F2-4AF3-9A7A-EC7C05364435}" uniqueName="38" name="np.std(Similarity_list_J_After)" queryTableFieldId="38"/>
    <tableColumn id="39" xr3:uid="{8D359920-5C50-4CA5-8FA9-73AEB8BEE65E}" uniqueName="39" name="np.mean(Similarity_list_H_After)" queryTableFieldId="39"/>
    <tableColumn id="40" xr3:uid="{D5E88785-7E8B-4DD3-958B-81EEC7C42FF5}" uniqueName="40" name="np.std(Similarity_list_H_After)" queryTableFieldId="4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A908FC-EB9E-4575-B3C5-44A4D13C1D8E}" name="MAX2SAT0.8" displayName="MAX2SAT0.8" ref="A1:AN21" tableType="queryTable" totalsRowShown="0">
  <autoFilter ref="A1:AN21" xr:uid="{2FA908FC-EB9E-4575-B3C5-44A4D13C1D8E}"/>
  <tableColumns count="40">
    <tableColumn id="1" xr3:uid="{E1CED0AF-DE1B-4585-AB03-110F6C531701}" uniqueName="1" name="N" queryTableFieldId="1"/>
    <tableColumn id="2" xr3:uid="{079F3562-C221-431A-87FA-DAF7B1F4C54D}" uniqueName="2" name="MAE_Learn" queryTableFieldId="2"/>
    <tableColumn id="3" xr3:uid="{FACF79F5-2FB9-4659-991D-CFDFE7EC975E}" uniqueName="3" name="RMSE_Learn" queryTableFieldId="3"/>
    <tableColumn id="4" xr3:uid="{69BED75F-2268-46F3-A6FA-C1A718E51D49}" uniqueName="4" name="MAPE_Learn" queryTableFieldId="4"/>
    <tableColumn id="5" xr3:uid="{D58FCE95-E4CF-41B7-AF2F-F0B4DB81D7E8}" uniqueName="5" name="Standard_MAE_Learn" queryTableFieldId="5"/>
    <tableColumn id="6" xr3:uid="{71D6C23C-B566-4F83-9D08-C200AC9CD05A}" uniqueName="6" name="Standard_RMSE_Learn" queryTableFieldId="6"/>
    <tableColumn id="7" xr3:uid="{D6DAFD9B-95C2-454B-96C5-4BF805F3BC36}" uniqueName="7" name="Standard_MAPE_Learn" queryTableFieldId="7"/>
    <tableColumn id="8" xr3:uid="{030784D2-B97D-4D47-A2FB-F4A2F2D11C78}" uniqueName="8" name="np.mean(Z_SATSolver_index_list)" queryTableFieldId="8"/>
    <tableColumn id="9" xr3:uid="{0BFAA511-451C-4926-84CA-BAFCC78B47A6}" uniqueName="9" name="np.std(Z_SATSolver_index_list)" queryTableFieldId="9"/>
    <tableColumn id="10" xr3:uid="{E549ACC4-0DBA-42AA-B3BD-3636E316BD40}" uniqueName="10" name="np.mean(Num_Solved_SAT)" queryTableFieldId="10"/>
    <tableColumn id="11" xr3:uid="{EABE8E44-E1AC-41FB-917F-A61721D0B6B8}" uniqueName="11" name="np.std(Num_Solved_SAT)" queryTableFieldId="11"/>
    <tableColumn id="12" xr3:uid="{8CCEF280-F044-4543-AC32-8950EFA8A72A}" uniqueName="12" name="Solved_SAT_Count / (Maxcomb * NumTrail)" queryTableFieldId="12"/>
    <tableColumn id="13" xr3:uid="{EE33CF6B-F4A7-49E3-9AF2-7D7543F1C53D}" uniqueName="13" name="np.mean(Ratio_Solved_Component)" queryTableFieldId="13"/>
    <tableColumn id="14" xr3:uid="{14626C47-3667-43CF-8950-1B0CE4D068AD}" uniqueName="14" name="np.mean(Ratio_Solved_Initial)" queryTableFieldId="14"/>
    <tableColumn id="15" xr3:uid="{3B23ED6B-A962-465B-B3D7-9E2AAFC48976}" uniqueName="15" name="np.mean(Ratio_Solved_Initial_Satisfied)" queryTableFieldId="15"/>
    <tableColumn id="16" xr3:uid="{F06C6EA5-1B38-4EF1-B62E-A8523D796ED7}" uniqueName="16" name="np.mean(Ratio_Solved_Red)" queryTableFieldId="16"/>
    <tableColumn id="17" xr3:uid="{0F41B8C1-FB27-436E-8992-6B98BFEEDB6B}" uniqueName="17" name="np.mean(Ratio_Solved_Red_Satisfied)" queryTableFieldId="17"/>
    <tableColumn id="18" xr3:uid="{483BF149-DE7E-4622-B7CD-2CC70C44ED0D}" uniqueName="18" name="np.mean(Ratio_Solved_Tse)" queryTableFieldId="18"/>
    <tableColumn id="19" xr3:uid="{74A867AA-31F8-40B0-A060-9FB980F80293}" uniqueName="19" name="np.mean(Ratio_Solved_Tse_Satisfied)" queryTableFieldId="19"/>
    <tableColumn id="20" xr3:uid="{91A2C725-82DC-418B-843A-D5AFDD6F73DA}" uniqueName="20" name="np.mean(Ratio_Solved_After)" queryTableFieldId="20"/>
    <tableColumn id="21" xr3:uid="{B7CBF7B9-B377-4ABF-9A54-FBF973715308}" uniqueName="21" name="np.mean(Ratio_Solved_After_Satisfied)" queryTableFieldId="21"/>
    <tableColumn id="22" xr3:uid="{3B31F42E-04DA-4C52-8C43-BB9DDAD4D7D2}" uniqueName="22" name="MAE_Energy" queryTableFieldId="22"/>
    <tableColumn id="23" xr3:uid="{263C0EA6-AC51-4B9A-8FAC-A264FA71F638}" uniqueName="23" name="Ratio of global minimum solutions" queryTableFieldId="23"/>
    <tableColumn id="24" xr3:uid="{4F2FF402-1745-4BB4-B7DA-48C14D14440E}" uniqueName="24" name="Ratio of local minimum solutions" queryTableFieldId="24"/>
    <tableColumn id="25" xr3:uid="{BAB89717-10AD-49FA-96DF-49DD5CBBFFEA}" uniqueName="25" name="np.mean(Similarity_list_J_Initial)" queryTableFieldId="25"/>
    <tableColumn id="26" xr3:uid="{C8EB8868-26D3-41BB-9F7E-3A6B89FAAB90}" uniqueName="26" name="np.std(Similarity_list_J_Initial)" queryTableFieldId="26"/>
    <tableColumn id="27" xr3:uid="{2E11B179-4DF8-4605-8E31-0AE4EEA4AC77}" uniqueName="27" name="np.mean(Similarity_list_H_Initial)" queryTableFieldId="27"/>
    <tableColumn id="28" xr3:uid="{8DAEC29A-D2A4-4FDE-853D-11FE95384505}" uniqueName="28" name="np.std(Similarity_list_H_Initial)" queryTableFieldId="28"/>
    <tableColumn id="29" xr3:uid="{D3E830B3-169B-4F0F-96E9-07E693698F04}" uniqueName="29" name="np.mean(Similarity_list_J_Red)" queryTableFieldId="29"/>
    <tableColumn id="30" xr3:uid="{7A258B7F-DBDC-4AC4-A524-4E606116DD67}" uniqueName="30" name="np.std(Similarity_list_J_Red)" queryTableFieldId="30"/>
    <tableColumn id="31" xr3:uid="{2FA4AE98-B039-4C07-9778-40619EDD6B19}" uniqueName="31" name="np.mean(Similarity_list_H_Red)" queryTableFieldId="31"/>
    <tableColumn id="32" xr3:uid="{C0B4DD7F-06EE-4CE1-804A-A72B978FE06A}" uniqueName="32" name="np.std(Similarity_list_H_Red)" queryTableFieldId="32"/>
    <tableColumn id="33" xr3:uid="{4E4636BD-4FB2-461D-8167-F9BE6161CCC8}" uniqueName="33" name="np.mean(Similarity_list_J_Tse)" queryTableFieldId="33"/>
    <tableColumn id="34" xr3:uid="{F2E954BB-94DC-4076-A7FE-30A324F2A94E}" uniqueName="34" name="np.std(Similarity_list_J_Tse)" queryTableFieldId="34"/>
    <tableColumn id="35" xr3:uid="{58DD4A2B-8C17-42E1-AFB4-C522B5B5BA79}" uniqueName="35" name="np.mean(Similarity_list_H_Tse)" queryTableFieldId="35"/>
    <tableColumn id="36" xr3:uid="{06A2868F-BEDF-45E3-A7AE-774524E10590}" uniqueName="36" name="np.std(Similarity_list_H_Tse)" queryTableFieldId="36"/>
    <tableColumn id="37" xr3:uid="{087AF3FF-C453-4E78-9D7E-D9F156E10411}" uniqueName="37" name="np.mean(Similarity_list_J_After)" queryTableFieldId="37"/>
    <tableColumn id="38" xr3:uid="{A844B5EA-F7DF-405A-943A-14FB036F7026}" uniqueName="38" name="np.std(Similarity_list_J_After)" queryTableFieldId="38"/>
    <tableColumn id="39" xr3:uid="{2A1D8EED-89BC-46D9-A069-1D2DE9CCAC69}" uniqueName="39" name="np.mean(Similarity_list_H_After)" queryTableFieldId="39"/>
    <tableColumn id="40" xr3:uid="{79E593B5-C158-422D-AA6A-6DFD8FF2AA03}" uniqueName="40" name="np.std(Similarity_list_H_After)" queryTableFieldId="4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2B66F5-84AA-4B02-A59F-AF7CEDFC6768}" name="MAX2SAT1.0" displayName="MAX2SAT1.0" ref="A1:AN21" tableType="queryTable" totalsRowShown="0">
  <autoFilter ref="A1:AN21" xr:uid="{E22B66F5-84AA-4B02-A59F-AF7CEDFC6768}"/>
  <tableColumns count="40">
    <tableColumn id="1" xr3:uid="{F258940E-5FF8-43C9-BCEF-D5EB5F164B07}" uniqueName="1" name="N" queryTableFieldId="1"/>
    <tableColumn id="2" xr3:uid="{D2E58981-4C62-4E1B-B562-F1A597A45991}" uniqueName="2" name="MAE_Learn" queryTableFieldId="2"/>
    <tableColumn id="3" xr3:uid="{C211EE9B-6CF6-4151-A4DE-93EA1E611A1D}" uniqueName="3" name="RMSE_Learn" queryTableFieldId="3"/>
    <tableColumn id="4" xr3:uid="{C920F882-DC40-425E-8122-BAB74DCF123A}" uniqueName="4" name="MAPE_Learn" queryTableFieldId="4"/>
    <tableColumn id="5" xr3:uid="{46FE2730-26F5-4988-984B-ADAF9C7F4B98}" uniqueName="5" name="Standard_MAE_Learn" queryTableFieldId="5"/>
    <tableColumn id="6" xr3:uid="{5A41434B-91F5-4CBC-9513-04C48DB8DD4B}" uniqueName="6" name="Standard_RMSE_Learn" queryTableFieldId="6"/>
    <tableColumn id="7" xr3:uid="{C84A0C71-B42E-40D2-8A25-8487F5BA6E00}" uniqueName="7" name="Standard_MAPE_Learn" queryTableFieldId="7"/>
    <tableColumn id="8" xr3:uid="{FF2ABFA1-7EDB-4460-B24F-2759B733A599}" uniqueName="8" name="np.mean(Z_SATSolver_index_list)" queryTableFieldId="8"/>
    <tableColumn id="9" xr3:uid="{04B79460-9753-45D1-B788-5F47EC74EA7E}" uniqueName="9" name="np.std(Z_SATSolver_index_list)" queryTableFieldId="9"/>
    <tableColumn id="10" xr3:uid="{D5086B0A-C57A-4E42-BE8B-D2D69BA4327B}" uniqueName="10" name="np.mean(Num_Solved_SAT)" queryTableFieldId="10"/>
    <tableColumn id="11" xr3:uid="{EBF36DC7-40D0-4C48-9ECC-FDB1AE0CF4E4}" uniqueName="11" name="np.std(Num_Solved_SAT)" queryTableFieldId="11"/>
    <tableColumn id="12" xr3:uid="{A2D8D646-9BE7-49BE-B149-A60D1D5EEF8F}" uniqueName="12" name="Solved_SAT_Count / (Maxcomb * NumTrail)" queryTableFieldId="12"/>
    <tableColumn id="13" xr3:uid="{415E3B76-6AA8-4E24-B6C9-6C8B65E56CC5}" uniqueName="13" name="np.mean(Ratio_Solved_Component)" queryTableFieldId="13"/>
    <tableColumn id="14" xr3:uid="{96B7F4AB-7424-4490-B358-3B5D1D94F2A3}" uniqueName="14" name="np.mean(Ratio_Solved_Initial)" queryTableFieldId="14"/>
    <tableColumn id="15" xr3:uid="{E6AEC99C-9A1D-415F-AB62-367B14DA3637}" uniqueName="15" name="np.mean(Ratio_Solved_Initial_Satisfied)" queryTableFieldId="15"/>
    <tableColumn id="16" xr3:uid="{FC7C7CAB-1CB9-48BE-87F7-E2838A847F24}" uniqueName="16" name="np.mean(Ratio_Solved_Red)" queryTableFieldId="16"/>
    <tableColumn id="17" xr3:uid="{02075C06-7AED-4CCC-B3FF-E2C1806074FB}" uniqueName="17" name="np.mean(Ratio_Solved_Red_Satisfied)" queryTableFieldId="17"/>
    <tableColumn id="18" xr3:uid="{317BF3E6-355B-45C2-9660-F65542D40F44}" uniqueName="18" name="np.mean(Ratio_Solved_Tse)" queryTableFieldId="18"/>
    <tableColumn id="19" xr3:uid="{671D3334-562D-46C2-82D4-43C8617FDA1D}" uniqueName="19" name="np.mean(Ratio_Solved_Tse_Satisfied)" queryTableFieldId="19"/>
    <tableColumn id="20" xr3:uid="{C230791C-8874-4C95-AE15-4C5C8847E5FA}" uniqueName="20" name="np.mean(Ratio_Solved_After)" queryTableFieldId="20"/>
    <tableColumn id="21" xr3:uid="{8C651A3B-9223-4AA8-BA0D-0F63B91981E0}" uniqueName="21" name="np.mean(Ratio_Solved_After_Satisfied)" queryTableFieldId="21"/>
    <tableColumn id="22" xr3:uid="{287D068B-60F4-497A-A2CB-7C3D6C13568D}" uniqueName="22" name="MAE_Energy" queryTableFieldId="22"/>
    <tableColumn id="23" xr3:uid="{D5250004-2E0F-4299-A571-F29D8966F364}" uniqueName="23" name="Ratio of global minimum solutions" queryTableFieldId="23"/>
    <tableColumn id="24" xr3:uid="{7A86D6EF-B792-46B9-BB93-E34BE97A98C6}" uniqueName="24" name="Ratio of local minimum solutions" queryTableFieldId="24"/>
    <tableColumn id="25" xr3:uid="{77068936-237F-46B8-B9B9-50975A8F4579}" uniqueName="25" name="np.mean(Similarity_list_J_Initial)" queryTableFieldId="25"/>
    <tableColumn id="26" xr3:uid="{56F832A3-C374-468E-BADD-996E447E29D5}" uniqueName="26" name="np.std(Similarity_list_J_Initial)" queryTableFieldId="26"/>
    <tableColumn id="27" xr3:uid="{DBBF25B4-1593-490B-BC9D-E3793810835F}" uniqueName="27" name="np.mean(Similarity_list_H_Initial)" queryTableFieldId="27"/>
    <tableColumn id="28" xr3:uid="{CACF2554-179E-4FB6-AF30-AE30455EF55A}" uniqueName="28" name="np.std(Similarity_list_H_Initial)" queryTableFieldId="28"/>
    <tableColumn id="29" xr3:uid="{3C2DE6B5-26E7-473C-8AF0-1D07364D9FC1}" uniqueName="29" name="np.mean(Similarity_list_J_Red)" queryTableFieldId="29"/>
    <tableColumn id="30" xr3:uid="{97DC5152-DE6F-431E-A037-126313EF9823}" uniqueName="30" name="np.std(Similarity_list_J_Red)" queryTableFieldId="30"/>
    <tableColumn id="31" xr3:uid="{38544C25-8C93-45B5-95E8-A3A6BB8FCF8A}" uniqueName="31" name="np.mean(Similarity_list_H_Red)" queryTableFieldId="31"/>
    <tableColumn id="32" xr3:uid="{7F599EEA-E0EF-4C54-B857-1E4C52B3F576}" uniqueName="32" name="np.std(Similarity_list_H_Red)" queryTableFieldId="32"/>
    <tableColumn id="33" xr3:uid="{CDCDD21F-070F-4A02-AFA4-5062F8CEDEF3}" uniqueName="33" name="np.mean(Similarity_list_J_Tse)" queryTableFieldId="33"/>
    <tableColumn id="34" xr3:uid="{A86B5BD1-F711-4938-8DEE-DD8E796CC019}" uniqueName="34" name="np.std(Similarity_list_J_Tse)" queryTableFieldId="34"/>
    <tableColumn id="35" xr3:uid="{6D1D4BE3-9052-4C8C-ADA3-9965C8A200CF}" uniqueName="35" name="np.mean(Similarity_list_H_Tse)" queryTableFieldId="35"/>
    <tableColumn id="36" xr3:uid="{09DCFFBA-A9C1-4D7F-812A-0C38A3B66F8B}" uniqueName="36" name="np.std(Similarity_list_H_Tse)" queryTableFieldId="36"/>
    <tableColumn id="37" xr3:uid="{04B825DF-FC70-44DE-B579-BFE7671BDC88}" uniqueName="37" name="np.mean(Similarity_list_J_After)" queryTableFieldId="37"/>
    <tableColumn id="38" xr3:uid="{5F8DF7A3-7DF7-4869-92CD-D3B470DAA3BF}" uniqueName="38" name="np.std(Similarity_list_J_After)" queryTableFieldId="38"/>
    <tableColumn id="39" xr3:uid="{562AC385-C786-42BA-A297-05F76571EFC6}" uniqueName="39" name="np.mean(Similarity_list_H_After)" queryTableFieldId="39"/>
    <tableColumn id="40" xr3:uid="{6A4999B8-3031-4B0C-B1DD-B68569BA2A23}" uniqueName="40" name="np.std(Similarity_list_H_After)" queryTableField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5700-DCAF-46DC-B1F7-42F82F089609}">
  <dimension ref="A1:AN21"/>
  <sheetViews>
    <sheetView workbookViewId="0">
      <selection activeCell="C24" sqref="C24"/>
    </sheetView>
  </sheetViews>
  <sheetFormatPr defaultRowHeight="14.1"/>
  <cols>
    <col min="1" max="1" width="4.5" bestFit="1" customWidth="1"/>
    <col min="2" max="2" width="12.44921875" bestFit="1" customWidth="1"/>
    <col min="3" max="3" width="13.34765625" bestFit="1" customWidth="1"/>
    <col min="4" max="4" width="13.59765625" bestFit="1" customWidth="1"/>
    <col min="5" max="5" width="21.09765625" bestFit="1" customWidth="1"/>
    <col min="6" max="6" width="22.046875" bestFit="1" customWidth="1"/>
    <col min="7" max="7" width="22.25" bestFit="1" customWidth="1"/>
    <col min="8" max="8" width="31.44921875" bestFit="1" customWidth="1"/>
    <col min="9" max="9" width="29.19921875" bestFit="1" customWidth="1"/>
    <col min="10" max="10" width="26.84765625" bestFit="1" customWidth="1"/>
    <col min="11" max="11" width="24.59765625" bestFit="1" customWidth="1"/>
    <col min="12" max="12" width="40.6484375" bestFit="1" customWidth="1"/>
    <col min="13" max="13" width="34.046875" bestFit="1" customWidth="1"/>
    <col min="14" max="14" width="28.59765625" bestFit="1" customWidth="1"/>
    <col min="15" max="15" width="36.84765625" bestFit="1" customWidth="1"/>
    <col min="16" max="16" width="27.046875" bestFit="1" customWidth="1"/>
    <col min="17" max="17" width="35.296875" bestFit="1" customWidth="1"/>
    <col min="18" max="18" width="26.546875" bestFit="1" customWidth="1"/>
    <col min="19" max="19" width="34.796875" bestFit="1" customWidth="1"/>
    <col min="20" max="20" width="28.09765625" bestFit="1" customWidth="1"/>
    <col min="21" max="21" width="36.34765625" bestFit="1" customWidth="1"/>
    <col min="22" max="22" width="13.6484375" bestFit="1" customWidth="1"/>
    <col min="23" max="23" width="33.1484375" bestFit="1" customWidth="1"/>
    <col min="24" max="24" width="31.75" bestFit="1" customWidth="1"/>
    <col min="25" max="25" width="30.546875" bestFit="1" customWidth="1"/>
    <col min="26" max="26" width="28.296875" bestFit="1" customWidth="1"/>
    <col min="27" max="27" width="31.1484375" bestFit="1" customWidth="1"/>
    <col min="28" max="28" width="28.8984375" bestFit="1" customWidth="1"/>
    <col min="29" max="29" width="29" bestFit="1" customWidth="1"/>
    <col min="30" max="30" width="26.75" bestFit="1" customWidth="1"/>
    <col min="31" max="31" width="29.59765625" bestFit="1" customWidth="1"/>
    <col min="32" max="32" width="27.34765625" bestFit="1" customWidth="1"/>
    <col min="33" max="33" width="28.5" bestFit="1" customWidth="1"/>
    <col min="34" max="34" width="26.25" bestFit="1" customWidth="1"/>
    <col min="35" max="35" width="29.1484375" bestFit="1" customWidth="1"/>
    <col min="36" max="36" width="26.8984375" bestFit="1" customWidth="1"/>
    <col min="37" max="37" width="30" bestFit="1" customWidth="1"/>
    <col min="38" max="38" width="27.796875" bestFit="1" customWidth="1"/>
    <col min="39" max="39" width="30.6484375" bestFit="1" customWidth="1"/>
    <col min="40" max="40" width="28.3984375" bestFit="1" customWidth="1"/>
  </cols>
  <sheetData>
    <row r="1" spans="1:4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spans="1:40">
      <c r="A2">
        <v>6</v>
      </c>
      <c r="B2">
        <v>0.20692857142857141</v>
      </c>
      <c r="C2">
        <v>0.26783288033429292</v>
      </c>
      <c r="D2">
        <v>9.2670634920634924</v>
      </c>
      <c r="E2">
        <v>0.33005068926301789</v>
      </c>
      <c r="F2">
        <v>0.41941435997673399</v>
      </c>
      <c r="G2">
        <v>14.563363883999729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0</v>
      </c>
      <c r="Y2">
        <v>0.38006031385281369</v>
      </c>
      <c r="Z2">
        <v>0.1160774387261298</v>
      </c>
      <c r="AA2">
        <v>7.4160657995526555E-2</v>
      </c>
      <c r="AB2">
        <v>2.9636895232727091E-2</v>
      </c>
      <c r="AC2">
        <v>0.38242833333333331</v>
      </c>
      <c r="AD2">
        <v>0.12683112187077741</v>
      </c>
      <c r="AE2">
        <v>7.1707699675803135E-2</v>
      </c>
      <c r="AF2">
        <v>1.4128484785870379E-2</v>
      </c>
      <c r="AG2">
        <v>0.40114687229437218</v>
      </c>
      <c r="AH2">
        <v>0.1062306049795696</v>
      </c>
      <c r="AI2">
        <v>6.7409914697799667E-2</v>
      </c>
      <c r="AJ2">
        <v>3.275492946682302E-2</v>
      </c>
      <c r="AK2">
        <v>0.40351489177489169</v>
      </c>
      <c r="AL2">
        <v>0.1174616378473137</v>
      </c>
      <c r="AM2">
        <v>5.942801282051282E-2</v>
      </c>
      <c r="AN2">
        <v>2.3589774924118678E-2</v>
      </c>
    </row>
    <row r="3" spans="1:40">
      <c r="A3">
        <v>12</v>
      </c>
      <c r="B3">
        <v>0.58413636363636368</v>
      </c>
      <c r="C3">
        <v>0.71969885084012175</v>
      </c>
      <c r="D3">
        <v>12.43087542087542</v>
      </c>
      <c r="E3">
        <v>0.59987367502576239</v>
      </c>
      <c r="F3">
        <v>0.72462286545770915</v>
      </c>
      <c r="G3">
        <v>12.125288678844919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0.39884498678623892</v>
      </c>
      <c r="Z3">
        <v>7.7197197687342248E-2</v>
      </c>
      <c r="AA3">
        <v>7.0033336539887261E-2</v>
      </c>
      <c r="AB3">
        <v>2.4067751316927739E-2</v>
      </c>
      <c r="AC3">
        <v>0.40519160173160168</v>
      </c>
      <c r="AD3">
        <v>8.3251849865919339E-2</v>
      </c>
      <c r="AE3">
        <v>7.2408030662038117E-2</v>
      </c>
      <c r="AF3">
        <v>1.4993620348450171E-2</v>
      </c>
      <c r="AG3">
        <v>0.43080632301689331</v>
      </c>
      <c r="AH3">
        <v>6.1149333540570901E-2</v>
      </c>
      <c r="AI3">
        <v>7.0993081027883792E-2</v>
      </c>
      <c r="AJ3">
        <v>3.306700667607488E-2</v>
      </c>
      <c r="AK3">
        <v>0.43936307650528739</v>
      </c>
      <c r="AL3">
        <v>6.4453885708269404E-2</v>
      </c>
      <c r="AM3">
        <v>7.0406645422012012E-2</v>
      </c>
      <c r="AN3">
        <v>3.7470499258983762E-2</v>
      </c>
    </row>
    <row r="4" spans="1:40">
      <c r="A4">
        <v>18</v>
      </c>
      <c r="B4">
        <v>0.91362689992000323</v>
      </c>
      <c r="C4">
        <v>1.1251491961787079</v>
      </c>
      <c r="D4">
        <v>13.30254439579152</v>
      </c>
      <c r="E4">
        <v>0.72088887088493558</v>
      </c>
      <c r="F4">
        <v>0.85352102814571729</v>
      </c>
      <c r="G4">
        <v>10.01810382274563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0</v>
      </c>
      <c r="Y4">
        <v>0.39502933431375697</v>
      </c>
      <c r="Z4">
        <v>6.5591498508935392E-2</v>
      </c>
      <c r="AA4">
        <v>6.6314274892587163E-2</v>
      </c>
      <c r="AB4">
        <v>2.0174006341955739E-2</v>
      </c>
      <c r="AC4">
        <v>0.3977081793370027</v>
      </c>
      <c r="AD4">
        <v>7.1335475999922945E-2</v>
      </c>
      <c r="AE4">
        <v>7.2198366290944532E-2</v>
      </c>
      <c r="AF4">
        <v>1.366147824803759E-2</v>
      </c>
      <c r="AG4">
        <v>0.42786675712698841</v>
      </c>
      <c r="AH4">
        <v>5.587744281037571E-2</v>
      </c>
      <c r="AI4">
        <v>6.4806481434327032E-2</v>
      </c>
      <c r="AJ4">
        <v>2.8705139379008371E-2</v>
      </c>
      <c r="AK4">
        <v>0.43335371832582298</v>
      </c>
      <c r="AL4">
        <v>5.868936408269719E-2</v>
      </c>
      <c r="AM4">
        <v>6.6849540209754366E-2</v>
      </c>
      <c r="AN4">
        <v>3.1626559449287543E-2</v>
      </c>
    </row>
    <row r="5" spans="1:40">
      <c r="A5">
        <v>24</v>
      </c>
      <c r="B5">
        <v>1.2895562341644959</v>
      </c>
      <c r="C5">
        <v>1.56717146193766</v>
      </c>
      <c r="D5">
        <v>14.665718434209859</v>
      </c>
      <c r="E5">
        <v>0.82640170240487298</v>
      </c>
      <c r="F5">
        <v>0.96467368902548245</v>
      </c>
      <c r="G5">
        <v>8.7770787630009295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0</v>
      </c>
      <c r="Y5">
        <v>0.38703975398803803</v>
      </c>
      <c r="Z5">
        <v>5.2337986805601047E-2</v>
      </c>
      <c r="AA5">
        <v>7.0335969182797553E-2</v>
      </c>
      <c r="AB5">
        <v>2.126416220831694E-2</v>
      </c>
      <c r="AC5">
        <v>0.39052783779861477</v>
      </c>
      <c r="AD5">
        <v>5.7172826709414343E-2</v>
      </c>
      <c r="AE5">
        <v>7.4265314723027942E-2</v>
      </c>
      <c r="AF5">
        <v>1.396901905788083E-2</v>
      </c>
      <c r="AG5">
        <v>0.42753891044288322</v>
      </c>
      <c r="AH5">
        <v>4.2505301337710931E-2</v>
      </c>
      <c r="AI5">
        <v>7.228935707974056E-2</v>
      </c>
      <c r="AJ5">
        <v>2.831650722572451E-2</v>
      </c>
      <c r="AK5">
        <v>0.43326891376263199</v>
      </c>
      <c r="AL5">
        <v>4.6734154337586299E-2</v>
      </c>
      <c r="AM5">
        <v>7.3817655782898936E-2</v>
      </c>
      <c r="AN5">
        <v>3.2497208066039777E-2</v>
      </c>
    </row>
    <row r="6" spans="1:40">
      <c r="A6">
        <v>30</v>
      </c>
      <c r="B6">
        <v>1.7976594256823519</v>
      </c>
      <c r="C6">
        <v>2.103225814777169</v>
      </c>
      <c r="D6">
        <v>16.201592339044161</v>
      </c>
      <c r="E6">
        <v>0.92451635746916017</v>
      </c>
      <c r="F6">
        <v>1.0067465776847011</v>
      </c>
      <c r="G6">
        <v>7.3973771674938389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0</v>
      </c>
      <c r="Y6">
        <v>0.39989836721549488</v>
      </c>
      <c r="Z6">
        <v>5.2766797019935793E-2</v>
      </c>
      <c r="AA6">
        <v>7.1622212800221768E-2</v>
      </c>
      <c r="AB6">
        <v>1.7988649201070659E-2</v>
      </c>
      <c r="AC6">
        <v>0.40411330257246553</v>
      </c>
      <c r="AD6">
        <v>5.8648061268702749E-2</v>
      </c>
      <c r="AE6">
        <v>7.3052523558180066E-2</v>
      </c>
      <c r="AF6">
        <v>1.35246920002436E-2</v>
      </c>
      <c r="AG6">
        <v>0.43103743024935132</v>
      </c>
      <c r="AH6">
        <v>4.3330410466171199E-2</v>
      </c>
      <c r="AI6">
        <v>7.1181185025094129E-2</v>
      </c>
      <c r="AJ6">
        <v>2.6836058378580479E-2</v>
      </c>
      <c r="AK6">
        <v>0.44061892370696959</v>
      </c>
      <c r="AL6">
        <v>4.5236335486267383E-2</v>
      </c>
      <c r="AM6">
        <v>7.100318423086345E-2</v>
      </c>
      <c r="AN6">
        <v>3.0676087158391371E-2</v>
      </c>
    </row>
    <row r="7" spans="1:40">
      <c r="A7">
        <v>36</v>
      </c>
      <c r="B7">
        <v>2.1317681593264828</v>
      </c>
      <c r="C7">
        <v>2.4620914266425489</v>
      </c>
      <c r="D7">
        <v>16.36588669561576</v>
      </c>
      <c r="E7">
        <v>1.0587653424785399</v>
      </c>
      <c r="F7">
        <v>1.1639168116194361</v>
      </c>
      <c r="G7">
        <v>7.3767778237289816</v>
      </c>
      <c r="H7">
        <v>0.01</v>
      </c>
      <c r="I7">
        <v>9.9498743710661988E-2</v>
      </c>
      <c r="J7">
        <v>1.54E-2</v>
      </c>
      <c r="K7">
        <v>0.1231374841386651</v>
      </c>
      <c r="L7">
        <v>0.98460000000000003</v>
      </c>
      <c r="M7">
        <v>0.99903333333333344</v>
      </c>
      <c r="N7">
        <v>0.99917368421052632</v>
      </c>
      <c r="O7">
        <v>0.99917368421052632</v>
      </c>
      <c r="P7">
        <v>0.99903333333333344</v>
      </c>
      <c r="Q7">
        <v>0.99903333333333344</v>
      </c>
      <c r="R7">
        <v>0.99924545454545455</v>
      </c>
      <c r="S7">
        <v>0.99924545454545455</v>
      </c>
      <c r="T7">
        <v>0.9991444444444445</v>
      </c>
      <c r="U7">
        <v>0.9991444444444445</v>
      </c>
      <c r="V7">
        <v>8.7115053082806593E-3</v>
      </c>
      <c r="W7">
        <v>0.97</v>
      </c>
      <c r="X7">
        <v>0.03</v>
      </c>
      <c r="Y7">
        <v>0.40066520429099128</v>
      </c>
      <c r="Z7">
        <v>4.160279822058964E-2</v>
      </c>
      <c r="AA7">
        <v>7.236985299156222E-2</v>
      </c>
      <c r="AB7">
        <v>1.6849830113427451E-2</v>
      </c>
      <c r="AC7">
        <v>0.40535359598022791</v>
      </c>
      <c r="AD7">
        <v>4.6808444949508483E-2</v>
      </c>
      <c r="AE7">
        <v>7.5356264557042599E-2</v>
      </c>
      <c r="AF7">
        <v>1.2940070814437869E-2</v>
      </c>
      <c r="AG7">
        <v>0.43565079798382478</v>
      </c>
      <c r="AH7">
        <v>3.4362267105029543E-2</v>
      </c>
      <c r="AI7">
        <v>7.3809614439384982E-2</v>
      </c>
      <c r="AJ7">
        <v>2.5542251170643359E-2</v>
      </c>
      <c r="AK7">
        <v>0.44475115663515802</v>
      </c>
      <c r="AL7">
        <v>3.5655143675717781E-2</v>
      </c>
      <c r="AM7">
        <v>7.5335665022994866E-2</v>
      </c>
      <c r="AN7">
        <v>3.1818001630622553E-2</v>
      </c>
    </row>
    <row r="8" spans="1:40">
      <c r="A8">
        <v>42</v>
      </c>
      <c r="B8">
        <v>2.3435173796809861</v>
      </c>
      <c r="C8">
        <v>2.6866120567468812</v>
      </c>
      <c r="D8">
        <v>15.342815198794749</v>
      </c>
      <c r="E8">
        <v>1.253934365966126</v>
      </c>
      <c r="F8">
        <v>1.3851101632786651</v>
      </c>
      <c r="G8">
        <v>7.0046980937588268</v>
      </c>
      <c r="H8">
        <v>0.03</v>
      </c>
      <c r="I8">
        <v>0.1705872210923198</v>
      </c>
      <c r="J8">
        <v>3.4599999999999999E-2</v>
      </c>
      <c r="K8">
        <v>0.18276443855411259</v>
      </c>
      <c r="L8">
        <v>0.96540000000000004</v>
      </c>
      <c r="M8">
        <v>0.99794828738512953</v>
      </c>
      <c r="N8">
        <v>0.99789981069273981</v>
      </c>
      <c r="O8">
        <v>0.99789981069273981</v>
      </c>
      <c r="P8">
        <v>0.99794828738512953</v>
      </c>
      <c r="Q8">
        <v>0.99794828738512953</v>
      </c>
      <c r="R8">
        <v>0.99811067193675895</v>
      </c>
      <c r="S8">
        <v>0.99811067193675895</v>
      </c>
      <c r="T8">
        <v>0.99818261607673375</v>
      </c>
      <c r="U8">
        <v>0.99818261607673375</v>
      </c>
      <c r="V8">
        <v>8.2293373066241363E-2</v>
      </c>
      <c r="W8">
        <v>0.87</v>
      </c>
      <c r="X8">
        <v>0.13</v>
      </c>
      <c r="Y8">
        <v>0.38930826788962858</v>
      </c>
      <c r="Z8">
        <v>4.1781150439537479E-2</v>
      </c>
      <c r="AA8">
        <v>7.1627227996602788E-2</v>
      </c>
      <c r="AB8">
        <v>1.8202162854461121E-2</v>
      </c>
      <c r="AC8">
        <v>0.39248886364917379</v>
      </c>
      <c r="AD8">
        <v>4.5994634373254517E-2</v>
      </c>
      <c r="AE8">
        <v>7.571419291996187E-2</v>
      </c>
      <c r="AF8">
        <v>1.28556552775413E-2</v>
      </c>
      <c r="AG8">
        <v>0.43361437219166987</v>
      </c>
      <c r="AH8">
        <v>2.9894814381223211E-2</v>
      </c>
      <c r="AI8">
        <v>7.5731794950709516E-2</v>
      </c>
      <c r="AJ8">
        <v>2.9512717353276891E-2</v>
      </c>
      <c r="AK8">
        <v>0.44353007991896598</v>
      </c>
      <c r="AL8">
        <v>2.9764515493612399E-2</v>
      </c>
      <c r="AM8">
        <v>7.8988825090474987E-2</v>
      </c>
      <c r="AN8">
        <v>3.3959038105843123E-2</v>
      </c>
    </row>
    <row r="9" spans="1:40">
      <c r="A9">
        <v>48</v>
      </c>
      <c r="B9">
        <v>3.0349947884855881</v>
      </c>
      <c r="C9">
        <v>3.3968738853590379</v>
      </c>
      <c r="D9">
        <v>17.216664098786691</v>
      </c>
      <c r="E9">
        <v>1.251372921083445</v>
      </c>
      <c r="F9">
        <v>1.2880650053653471</v>
      </c>
      <c r="G9">
        <v>5.9861265775507864</v>
      </c>
      <c r="H9">
        <v>0.04</v>
      </c>
      <c r="I9">
        <v>0.19595917942265431</v>
      </c>
      <c r="J9">
        <v>7.0400000000000004E-2</v>
      </c>
      <c r="K9">
        <v>0.27394130758248197</v>
      </c>
      <c r="L9">
        <v>0.93440000000000001</v>
      </c>
      <c r="M9">
        <v>0.99636908179539752</v>
      </c>
      <c r="N9">
        <v>0.99583661071562124</v>
      </c>
      <c r="O9">
        <v>0.99583661071562124</v>
      </c>
      <c r="P9">
        <v>0.99636908179539752</v>
      </c>
      <c r="Q9">
        <v>0.99636908179539752</v>
      </c>
      <c r="R9">
        <v>0.99657258439497509</v>
      </c>
      <c r="S9">
        <v>0.99657258439497509</v>
      </c>
      <c r="T9">
        <v>0.99710939014689015</v>
      </c>
      <c r="U9">
        <v>0.99710939014689015</v>
      </c>
      <c r="V9">
        <v>0.1355421241763301</v>
      </c>
      <c r="W9">
        <v>0.78</v>
      </c>
      <c r="X9">
        <v>0.22</v>
      </c>
      <c r="Y9">
        <v>0.3975654896181986</v>
      </c>
      <c r="Z9">
        <v>4.181631070076449E-2</v>
      </c>
      <c r="AA9">
        <v>7.1316768375216902E-2</v>
      </c>
      <c r="AB9">
        <v>1.71679438912355E-2</v>
      </c>
      <c r="AC9">
        <v>0.40280206191962309</v>
      </c>
      <c r="AD9">
        <v>4.6473039228536787E-2</v>
      </c>
      <c r="AE9">
        <v>7.3880828782333222E-2</v>
      </c>
      <c r="AF9">
        <v>1.2440013382819181E-2</v>
      </c>
      <c r="AG9">
        <v>0.4333634388365013</v>
      </c>
      <c r="AH9">
        <v>3.2743969447904239E-2</v>
      </c>
      <c r="AI9">
        <v>7.0936867146323912E-2</v>
      </c>
      <c r="AJ9">
        <v>2.435839749023154E-2</v>
      </c>
      <c r="AK9">
        <v>0.44357695845863798</v>
      </c>
      <c r="AL9">
        <v>3.285307027079077E-2</v>
      </c>
      <c r="AM9">
        <v>7.138926386328022E-2</v>
      </c>
      <c r="AN9">
        <v>2.8031804731608111E-2</v>
      </c>
    </row>
    <row r="10" spans="1:40">
      <c r="A10">
        <v>54</v>
      </c>
      <c r="B10">
        <v>3.1865045126035798</v>
      </c>
      <c r="C10">
        <v>3.5392480242513562</v>
      </c>
      <c r="D10">
        <v>16.327102412843761</v>
      </c>
      <c r="E10">
        <v>1.3711884786929991</v>
      </c>
      <c r="F10">
        <v>1.4525881399612961</v>
      </c>
      <c r="G10">
        <v>6.1610572804352524</v>
      </c>
      <c r="H10">
        <v>0.04</v>
      </c>
      <c r="I10">
        <v>0.19595917942265431</v>
      </c>
      <c r="J10">
        <v>5.0900000000000001E-2</v>
      </c>
      <c r="K10">
        <v>0.2197935167378692</v>
      </c>
      <c r="L10">
        <v>0.94910000000000005</v>
      </c>
      <c r="M10">
        <v>0.99760135349163481</v>
      </c>
      <c r="N10">
        <v>0.99762185671085502</v>
      </c>
      <c r="O10">
        <v>0.99762185671085502</v>
      </c>
      <c r="P10">
        <v>0.99760135349163481</v>
      </c>
      <c r="Q10">
        <v>0.99760135349163481</v>
      </c>
      <c r="R10">
        <v>0.99800217397371094</v>
      </c>
      <c r="S10">
        <v>0.99800217397371094</v>
      </c>
      <c r="T10">
        <v>0.99799663092661817</v>
      </c>
      <c r="U10">
        <v>0.99799663092661817</v>
      </c>
      <c r="V10">
        <v>0.1227447959601777</v>
      </c>
      <c r="W10">
        <v>0.74</v>
      </c>
      <c r="X10">
        <v>0.26</v>
      </c>
      <c r="Y10">
        <v>0.393744108884579</v>
      </c>
      <c r="Z10">
        <v>4.2552977549694677E-2</v>
      </c>
      <c r="AA10">
        <v>7.0655290612324312E-2</v>
      </c>
      <c r="AB10">
        <v>1.6849517896126081E-2</v>
      </c>
      <c r="AC10">
        <v>0.39523091021105961</v>
      </c>
      <c r="AD10">
        <v>4.6475433942822358E-2</v>
      </c>
      <c r="AE10">
        <v>7.4782487178050389E-2</v>
      </c>
      <c r="AF10">
        <v>1.104212077008021E-2</v>
      </c>
      <c r="AG10">
        <v>0.43330451224455768</v>
      </c>
      <c r="AH10">
        <v>3.3241750133590063E-2</v>
      </c>
      <c r="AI10">
        <v>7.1774546257961105E-2</v>
      </c>
      <c r="AJ10">
        <v>2.5864967300067009E-2</v>
      </c>
      <c r="AK10">
        <v>0.44151973709723208</v>
      </c>
      <c r="AL10">
        <v>3.4217547721438167E-2</v>
      </c>
      <c r="AM10">
        <v>7.4244071859625102E-2</v>
      </c>
      <c r="AN10">
        <v>2.890460008213995E-2</v>
      </c>
    </row>
    <row r="11" spans="1:40">
      <c r="A11">
        <v>60</v>
      </c>
      <c r="B11">
        <v>3.7070768803527989</v>
      </c>
      <c r="C11">
        <v>4.0822739035661781</v>
      </c>
      <c r="D11">
        <v>17.002644317842702</v>
      </c>
      <c r="E11">
        <v>1.3955970045501029</v>
      </c>
      <c r="F11">
        <v>1.3976239747326209</v>
      </c>
      <c r="G11">
        <v>5.2018971760829764</v>
      </c>
      <c r="H11">
        <v>0.06</v>
      </c>
      <c r="I11">
        <v>0.23748684174075829</v>
      </c>
      <c r="J11">
        <v>0.12770000000000001</v>
      </c>
      <c r="K11">
        <v>0.389862424452524</v>
      </c>
      <c r="L11">
        <v>0.89259999999999995</v>
      </c>
      <c r="M11">
        <v>0.99448093510997859</v>
      </c>
      <c r="N11">
        <v>0.99345476610757655</v>
      </c>
      <c r="O11">
        <v>0.99345476610757655</v>
      </c>
      <c r="P11">
        <v>0.99448093510997859</v>
      </c>
      <c r="Q11">
        <v>0.99448093510997859</v>
      </c>
      <c r="R11">
        <v>0.99493176942537653</v>
      </c>
      <c r="S11">
        <v>0.99493176942537653</v>
      </c>
      <c r="T11">
        <v>0.99588231866100108</v>
      </c>
      <c r="U11">
        <v>0.99588231866100108</v>
      </c>
      <c r="V11">
        <v>0.25031135580880037</v>
      </c>
      <c r="W11">
        <v>0.59000000000000008</v>
      </c>
      <c r="X11">
        <v>0.41</v>
      </c>
      <c r="Y11">
        <v>0.39667091820758937</v>
      </c>
      <c r="Z11">
        <v>4.0380819372921567E-2</v>
      </c>
      <c r="AA11">
        <v>6.967118065741601E-2</v>
      </c>
      <c r="AB11">
        <v>1.7958022193212211E-2</v>
      </c>
      <c r="AC11">
        <v>0.39741493461192973</v>
      </c>
      <c r="AD11">
        <v>4.3261666447269753E-2</v>
      </c>
      <c r="AE11">
        <v>7.4710839389067238E-2</v>
      </c>
      <c r="AF11">
        <v>1.1173678124255069E-2</v>
      </c>
      <c r="AG11">
        <v>0.43570181855856399</v>
      </c>
      <c r="AH11">
        <v>3.4119790079117432E-2</v>
      </c>
      <c r="AI11">
        <v>7.0244058936244733E-2</v>
      </c>
      <c r="AJ11">
        <v>2.4394913809753099E-2</v>
      </c>
      <c r="AK11">
        <v>0.44275829405820472</v>
      </c>
      <c r="AL11">
        <v>3.3884586637769859E-2</v>
      </c>
      <c r="AM11">
        <v>7.2723852512074333E-2</v>
      </c>
      <c r="AN11">
        <v>2.5189624021870291E-2</v>
      </c>
    </row>
    <row r="12" spans="1:40">
      <c r="A12">
        <v>66</v>
      </c>
      <c r="B12">
        <v>4.1243739474820771</v>
      </c>
      <c r="C12">
        <v>4.4807203505546509</v>
      </c>
      <c r="D12">
        <v>17.04693021965031</v>
      </c>
      <c r="E12">
        <v>1.689778169056938</v>
      </c>
      <c r="F12">
        <v>1.7367700931400221</v>
      </c>
      <c r="G12">
        <v>5.6613108776016654</v>
      </c>
      <c r="H12">
        <v>0.18</v>
      </c>
      <c r="I12">
        <v>0.38418745424597089</v>
      </c>
      <c r="J12">
        <v>0.27160000000000001</v>
      </c>
      <c r="K12">
        <v>0.50973859967634394</v>
      </c>
      <c r="L12">
        <v>0.75829999999999997</v>
      </c>
      <c r="M12">
        <v>0.98935797295186789</v>
      </c>
      <c r="N12">
        <v>0.98838455613748588</v>
      </c>
      <c r="O12">
        <v>0.98838455613748588</v>
      </c>
      <c r="P12">
        <v>0.98935797295186789</v>
      </c>
      <c r="Q12">
        <v>0.98935797295186789</v>
      </c>
      <c r="R12">
        <v>0.98986718783269911</v>
      </c>
      <c r="S12">
        <v>0.98986718783269911</v>
      </c>
      <c r="T12">
        <v>0.99107409397802526</v>
      </c>
      <c r="U12">
        <v>0.99107409397802526</v>
      </c>
      <c r="V12">
        <v>0.36413254220389102</v>
      </c>
      <c r="W12">
        <v>0.51</v>
      </c>
      <c r="X12">
        <v>0.49</v>
      </c>
      <c r="Y12">
        <v>0.39443865544981649</v>
      </c>
      <c r="Z12">
        <v>3.7534636289156542E-2</v>
      </c>
      <c r="AA12">
        <v>7.0807359841407319E-2</v>
      </c>
      <c r="AB12">
        <v>1.7518117220452899E-2</v>
      </c>
      <c r="AC12">
        <v>0.39427261231443839</v>
      </c>
      <c r="AD12">
        <v>4.0284540388679242E-2</v>
      </c>
      <c r="AE12">
        <v>7.5780831449363595E-2</v>
      </c>
      <c r="AF12">
        <v>1.352654058076241E-2</v>
      </c>
      <c r="AG12">
        <v>0.43725456952467401</v>
      </c>
      <c r="AH12">
        <v>2.7147388299559261E-2</v>
      </c>
      <c r="AI12">
        <v>7.3754709746664149E-2</v>
      </c>
      <c r="AJ12">
        <v>2.6053341952078281E-2</v>
      </c>
      <c r="AK12">
        <v>0.44305175570535399</v>
      </c>
      <c r="AL12">
        <v>2.750726894208071E-2</v>
      </c>
      <c r="AM12">
        <v>7.7019431740529415E-2</v>
      </c>
      <c r="AN12">
        <v>3.183558915727152E-2</v>
      </c>
    </row>
    <row r="13" spans="1:40">
      <c r="A13">
        <v>72</v>
      </c>
      <c r="B13">
        <v>4.5981307091530752</v>
      </c>
      <c r="C13">
        <v>4.9926902591943412</v>
      </c>
      <c r="D13">
        <v>17.50118950434457</v>
      </c>
      <c r="E13">
        <v>1.7039231864452209</v>
      </c>
      <c r="F13">
        <v>1.7453778241283979</v>
      </c>
      <c r="G13">
        <v>4.9680301827275422</v>
      </c>
      <c r="H13">
        <v>0.14000000000000001</v>
      </c>
      <c r="I13">
        <v>0.34698703145794951</v>
      </c>
      <c r="J13">
        <v>0.249</v>
      </c>
      <c r="K13">
        <v>0.50714790741952187</v>
      </c>
      <c r="L13">
        <v>0.78310000000000002</v>
      </c>
      <c r="M13">
        <v>0.99106459906407796</v>
      </c>
      <c r="N13">
        <v>0.9907450411111336</v>
      </c>
      <c r="O13">
        <v>0.9907450411111336</v>
      </c>
      <c r="P13">
        <v>0.99106459906407796</v>
      </c>
      <c r="Q13">
        <v>0.99106459906407796</v>
      </c>
      <c r="R13">
        <v>0.992292200153297</v>
      </c>
      <c r="S13">
        <v>0.992292200153297</v>
      </c>
      <c r="T13">
        <v>0.9928509855087998</v>
      </c>
      <c r="U13">
        <v>0.9928509855087998</v>
      </c>
      <c r="V13">
        <v>0.44413350168552279</v>
      </c>
      <c r="W13">
        <v>0.46</v>
      </c>
      <c r="X13">
        <v>0.54</v>
      </c>
      <c r="Y13">
        <v>0.39347438494626968</v>
      </c>
      <c r="Z13">
        <v>3.4941390996351178E-2</v>
      </c>
      <c r="AA13">
        <v>6.8433927359430491E-2</v>
      </c>
      <c r="AB13">
        <v>1.442552847176912E-2</v>
      </c>
      <c r="AC13">
        <v>0.39345807220903167</v>
      </c>
      <c r="AD13">
        <v>3.8373655247866803E-2</v>
      </c>
      <c r="AE13">
        <v>7.6464461553528554E-2</v>
      </c>
      <c r="AF13">
        <v>1.1936449187195971E-2</v>
      </c>
      <c r="AG13">
        <v>0.43621628942400381</v>
      </c>
      <c r="AH13">
        <v>2.7753506238575729E-2</v>
      </c>
      <c r="AI13">
        <v>7.0983074303075419E-2</v>
      </c>
      <c r="AJ13">
        <v>2.4088593830502061E-2</v>
      </c>
      <c r="AK13">
        <v>0.44286580348742111</v>
      </c>
      <c r="AL13">
        <v>2.7497200612815739E-2</v>
      </c>
      <c r="AM13">
        <v>7.6733661519001115E-2</v>
      </c>
      <c r="AN13">
        <v>2.9080269473304641E-2</v>
      </c>
    </row>
    <row r="14" spans="1:40">
      <c r="A14">
        <v>78</v>
      </c>
      <c r="B14">
        <v>4.5874923907442744</v>
      </c>
      <c r="C14">
        <v>4.9923853705193428</v>
      </c>
      <c r="D14">
        <v>16.661549263545279</v>
      </c>
      <c r="E14">
        <v>1.711062653668971</v>
      </c>
      <c r="F14">
        <v>1.771975067417755</v>
      </c>
      <c r="G14">
        <v>5.2219195965983083</v>
      </c>
      <c r="H14">
        <v>7.0000000000000007E-2</v>
      </c>
      <c r="I14">
        <v>0.25514701644346138</v>
      </c>
      <c r="J14">
        <v>0.20699999999999999</v>
      </c>
      <c r="K14">
        <v>0.43191550099527581</v>
      </c>
      <c r="L14">
        <v>0.80420000000000003</v>
      </c>
      <c r="M14">
        <v>0.9925797206086725</v>
      </c>
      <c r="N14">
        <v>0.99119097590927452</v>
      </c>
      <c r="O14">
        <v>0.99119097590927452</v>
      </c>
      <c r="P14">
        <v>0.9925797206086725</v>
      </c>
      <c r="Q14">
        <v>0.9925797206086725</v>
      </c>
      <c r="R14">
        <v>0.99324211395196527</v>
      </c>
      <c r="S14">
        <v>0.99324211395196527</v>
      </c>
      <c r="T14">
        <v>0.99461209750475554</v>
      </c>
      <c r="U14">
        <v>0.99461209750475554</v>
      </c>
      <c r="V14">
        <v>0.41270837424596912</v>
      </c>
      <c r="W14">
        <v>0.46550000000000002</v>
      </c>
      <c r="X14">
        <v>0.53449999999999998</v>
      </c>
      <c r="Y14">
        <v>0.39529919047607809</v>
      </c>
      <c r="Z14">
        <v>3.3933293992100981E-2</v>
      </c>
      <c r="AA14">
        <v>7.1207061681194866E-2</v>
      </c>
      <c r="AB14">
        <v>1.4964142796581949E-2</v>
      </c>
      <c r="AC14">
        <v>0.39553761414341632</v>
      </c>
      <c r="AD14">
        <v>3.7008144890440083E-2</v>
      </c>
      <c r="AE14">
        <v>7.6680816000154167E-2</v>
      </c>
      <c r="AF14">
        <v>1.0359267106133351E-2</v>
      </c>
      <c r="AG14">
        <v>0.43588935713494709</v>
      </c>
      <c r="AH14">
        <v>2.8187270238660661E-2</v>
      </c>
      <c r="AI14">
        <v>7.2650823919041596E-2</v>
      </c>
      <c r="AJ14">
        <v>2.337788765374783E-2</v>
      </c>
      <c r="AK14">
        <v>0.44312036281812123</v>
      </c>
      <c r="AL14">
        <v>2.9889955969175361E-2</v>
      </c>
      <c r="AM14">
        <v>7.6199857288569942E-2</v>
      </c>
      <c r="AN14">
        <v>2.6715556024719488E-2</v>
      </c>
    </row>
    <row r="15" spans="1:40">
      <c r="A15">
        <v>84</v>
      </c>
      <c r="B15">
        <v>5.4693868097650542</v>
      </c>
      <c r="C15">
        <v>5.8685750760310409</v>
      </c>
      <c r="D15">
        <v>17.85505627681766</v>
      </c>
      <c r="E15">
        <v>1.710778455365501</v>
      </c>
      <c r="F15">
        <v>1.721064942712454</v>
      </c>
      <c r="G15">
        <v>4.3265480876107736</v>
      </c>
      <c r="H15">
        <v>0.18</v>
      </c>
      <c r="I15">
        <v>0.4093897898091744</v>
      </c>
      <c r="J15">
        <v>0.3533</v>
      </c>
      <c r="K15">
        <v>0.60570546472687536</v>
      </c>
      <c r="L15">
        <v>0.71289999999999998</v>
      </c>
      <c r="M15">
        <v>0.98887884986890384</v>
      </c>
      <c r="N15">
        <v>0.98667360747392452</v>
      </c>
      <c r="O15">
        <v>0.98667360747392452</v>
      </c>
      <c r="P15">
        <v>0.98887884986890384</v>
      </c>
      <c r="Q15">
        <v>0.98887884986890384</v>
      </c>
      <c r="R15">
        <v>0.98919240063734137</v>
      </c>
      <c r="S15">
        <v>0.98919240063734137</v>
      </c>
      <c r="T15">
        <v>0.99126050000121524</v>
      </c>
      <c r="U15">
        <v>0.99126050000121524</v>
      </c>
      <c r="V15">
        <v>0.72798205785502446</v>
      </c>
      <c r="W15">
        <v>0.32</v>
      </c>
      <c r="X15">
        <v>0.68</v>
      </c>
      <c r="Y15">
        <v>0.39431850453829892</v>
      </c>
      <c r="Z15">
        <v>3.456789394719615E-2</v>
      </c>
      <c r="AA15">
        <v>6.9129817993887496E-2</v>
      </c>
      <c r="AB15">
        <v>1.665623716173768E-2</v>
      </c>
      <c r="AC15">
        <v>0.39672156493123129</v>
      </c>
      <c r="AD15">
        <v>3.5148407381362809E-2</v>
      </c>
      <c r="AE15">
        <v>7.4468435903245089E-2</v>
      </c>
      <c r="AF15">
        <v>1.1314321769538839E-2</v>
      </c>
      <c r="AG15">
        <v>0.43218141078541011</v>
      </c>
      <c r="AH15">
        <v>2.881342162531338E-2</v>
      </c>
      <c r="AI15">
        <v>6.8596280408837446E-2</v>
      </c>
      <c r="AJ15">
        <v>2.3538960158077899E-2</v>
      </c>
      <c r="AK15">
        <v>0.44071974339751901</v>
      </c>
      <c r="AL15">
        <v>2.5888846569277171E-2</v>
      </c>
      <c r="AM15">
        <v>7.1169268328775695E-2</v>
      </c>
      <c r="AN15">
        <v>2.4813681646320949E-2</v>
      </c>
    </row>
    <row r="16" spans="1:40">
      <c r="A16">
        <v>90</v>
      </c>
      <c r="B16">
        <v>5.751135042416923</v>
      </c>
      <c r="C16">
        <v>6.1551443882129062</v>
      </c>
      <c r="D16">
        <v>17.862746551166481</v>
      </c>
      <c r="E16">
        <v>1.7883088324689871</v>
      </c>
      <c r="F16">
        <v>1.815650252681331</v>
      </c>
      <c r="G16">
        <v>4.4324000198863356</v>
      </c>
      <c r="H16">
        <v>0.22</v>
      </c>
      <c r="I16">
        <v>0.43772137256478583</v>
      </c>
      <c r="J16">
        <v>0.44890000000000002</v>
      </c>
      <c r="K16">
        <v>0.69281223285966886</v>
      </c>
      <c r="L16">
        <v>0.64190000000000003</v>
      </c>
      <c r="M16">
        <v>0.98639308015837801</v>
      </c>
      <c r="N16">
        <v>0.98490554180558154</v>
      </c>
      <c r="O16">
        <v>0.98490554180558154</v>
      </c>
      <c r="P16">
        <v>0.98639308015837801</v>
      </c>
      <c r="Q16">
        <v>0.98639308015837801</v>
      </c>
      <c r="R16">
        <v>0.98744292196665806</v>
      </c>
      <c r="S16">
        <v>0.98744292196665806</v>
      </c>
      <c r="T16">
        <v>0.98909901094179908</v>
      </c>
      <c r="U16">
        <v>0.98909901094179908</v>
      </c>
      <c r="V16">
        <v>0.76503640511022653</v>
      </c>
      <c r="W16">
        <v>0.23</v>
      </c>
      <c r="X16">
        <v>0.77</v>
      </c>
      <c r="Y16">
        <v>0.39219048853572969</v>
      </c>
      <c r="Z16">
        <v>3.371684341774734E-2</v>
      </c>
      <c r="AA16">
        <v>7.3752043219565883E-2</v>
      </c>
      <c r="AB16">
        <v>1.6777148285395841E-2</v>
      </c>
      <c r="AC16">
        <v>0.39678573715346233</v>
      </c>
      <c r="AD16">
        <v>3.8411841088774212E-2</v>
      </c>
      <c r="AE16">
        <v>7.5709806116226464E-2</v>
      </c>
      <c r="AF16">
        <v>1.164276856950582E-2</v>
      </c>
      <c r="AG16">
        <v>0.42839059014761061</v>
      </c>
      <c r="AH16">
        <v>2.9138305775847952E-2</v>
      </c>
      <c r="AI16">
        <v>7.3342676146037095E-2</v>
      </c>
      <c r="AJ16">
        <v>2.385646197022873E-2</v>
      </c>
      <c r="AK16">
        <v>0.43815929689033722</v>
      </c>
      <c r="AL16">
        <v>3.0723037135290079E-2</v>
      </c>
      <c r="AM16">
        <v>7.3245588428565031E-2</v>
      </c>
      <c r="AN16">
        <v>2.803644800560395E-2</v>
      </c>
    </row>
    <row r="17" spans="1:40">
      <c r="A17">
        <v>96</v>
      </c>
      <c r="B17">
        <v>6.0582453407284103</v>
      </c>
      <c r="C17">
        <v>6.4643337487026828</v>
      </c>
      <c r="D17">
        <v>17.513932926988289</v>
      </c>
      <c r="E17">
        <v>2.0385413009544568</v>
      </c>
      <c r="F17">
        <v>2.0546852612502251</v>
      </c>
      <c r="G17">
        <v>4.5576560678456044</v>
      </c>
      <c r="H17">
        <v>0.18</v>
      </c>
      <c r="I17">
        <v>0.40938978980917451</v>
      </c>
      <c r="J17">
        <v>0.46429999999999999</v>
      </c>
      <c r="K17">
        <v>0.67403672748597321</v>
      </c>
      <c r="L17">
        <v>0.63139999999999996</v>
      </c>
      <c r="M17">
        <v>0.9868801931088208</v>
      </c>
      <c r="N17">
        <v>0.98527923431847486</v>
      </c>
      <c r="O17">
        <v>0.98527923431847486</v>
      </c>
      <c r="P17">
        <v>0.9868801931088208</v>
      </c>
      <c r="Q17">
        <v>0.9868801931088208</v>
      </c>
      <c r="R17">
        <v>0.98876785578019899</v>
      </c>
      <c r="S17">
        <v>0.98876785578019899</v>
      </c>
      <c r="T17">
        <v>0.99048506054431096</v>
      </c>
      <c r="U17">
        <v>0.99048506054431096</v>
      </c>
      <c r="V17">
        <v>0.93774502879183819</v>
      </c>
      <c r="W17">
        <v>0.23</v>
      </c>
      <c r="X17">
        <v>0.77</v>
      </c>
      <c r="Y17">
        <v>0.39828519262546502</v>
      </c>
      <c r="Z17">
        <v>2.9154619672411342E-2</v>
      </c>
      <c r="AA17">
        <v>7.0400099881542041E-2</v>
      </c>
      <c r="AB17">
        <v>1.5995935499033151E-2</v>
      </c>
      <c r="AC17">
        <v>0.40262044439736022</v>
      </c>
      <c r="AD17">
        <v>3.4069165605015217E-2</v>
      </c>
      <c r="AE17">
        <v>7.5017245960834839E-2</v>
      </c>
      <c r="AF17">
        <v>1.1977219954244001E-2</v>
      </c>
      <c r="AG17">
        <v>0.4391942679805218</v>
      </c>
      <c r="AH17">
        <v>2.207586800420706E-2</v>
      </c>
      <c r="AI17">
        <v>7.3013858297649045E-2</v>
      </c>
      <c r="AJ17">
        <v>2.492685074262882E-2</v>
      </c>
      <c r="AK17">
        <v>0.44952610905844481</v>
      </c>
      <c r="AL17">
        <v>2.2299202969913341E-2</v>
      </c>
      <c r="AM17">
        <v>7.623317625729592E-2</v>
      </c>
      <c r="AN17">
        <v>2.8393821047519158E-2</v>
      </c>
    </row>
    <row r="18" spans="1:40">
      <c r="A18">
        <v>102</v>
      </c>
      <c r="B18">
        <v>6.5574177134707679</v>
      </c>
      <c r="C18">
        <v>6.9549181990560589</v>
      </c>
      <c r="D18">
        <v>17.443031147847659</v>
      </c>
      <c r="E18">
        <v>2.3701185405281771</v>
      </c>
      <c r="F18">
        <v>2.4025508407230549</v>
      </c>
      <c r="G18">
        <v>4.5748134269314287</v>
      </c>
      <c r="H18">
        <v>0.19</v>
      </c>
      <c r="I18">
        <v>0.44034077712607989</v>
      </c>
      <c r="J18">
        <v>0.41399999999999998</v>
      </c>
      <c r="K18">
        <v>0.66483381382116846</v>
      </c>
      <c r="L18">
        <v>0.67249999999999999</v>
      </c>
      <c r="M18">
        <v>0.989472861713386</v>
      </c>
      <c r="N18">
        <v>0.98808080183689506</v>
      </c>
      <c r="O18">
        <v>0.98808080183689506</v>
      </c>
      <c r="P18">
        <v>0.989472861713386</v>
      </c>
      <c r="Q18">
        <v>0.989472861713386</v>
      </c>
      <c r="R18">
        <v>0.99006346117178878</v>
      </c>
      <c r="S18">
        <v>0.99006346117178878</v>
      </c>
      <c r="T18">
        <v>0.99162215948700139</v>
      </c>
      <c r="U18">
        <v>0.99162215948700139</v>
      </c>
      <c r="V18">
        <v>0.98256522991716355</v>
      </c>
      <c r="W18">
        <v>0.23</v>
      </c>
      <c r="X18">
        <v>0.77</v>
      </c>
      <c r="Y18">
        <v>0.39957920374950018</v>
      </c>
      <c r="Z18">
        <v>3.2263461131278537E-2</v>
      </c>
      <c r="AA18">
        <v>6.8801733441331267E-2</v>
      </c>
      <c r="AB18">
        <v>1.5975080643839769E-2</v>
      </c>
      <c r="AC18">
        <v>0.40013441305263681</v>
      </c>
      <c r="AD18">
        <v>3.5461300973094058E-2</v>
      </c>
      <c r="AE18">
        <v>7.5259873857322426E-2</v>
      </c>
      <c r="AF18">
        <v>1.2464325961526711E-2</v>
      </c>
      <c r="AG18">
        <v>0.43997354427059049</v>
      </c>
      <c r="AH18">
        <v>2.618436731949068E-2</v>
      </c>
      <c r="AI18">
        <v>7.1475407640449767E-2</v>
      </c>
      <c r="AJ18">
        <v>2.5148635976459111E-2</v>
      </c>
      <c r="AK18">
        <v>0.44702358042532497</v>
      </c>
      <c r="AL18">
        <v>2.68607747121089E-2</v>
      </c>
      <c r="AM18">
        <v>7.6119067817396247E-2</v>
      </c>
      <c r="AN18">
        <v>2.9114738940958718E-2</v>
      </c>
    </row>
    <row r="19" spans="1:40">
      <c r="A19">
        <v>108</v>
      </c>
      <c r="B19">
        <v>6.883650609804449</v>
      </c>
      <c r="C19">
        <v>7.2733658703130688</v>
      </c>
      <c r="D19">
        <v>17.406161143347038</v>
      </c>
      <c r="E19">
        <v>2.5377117724512521</v>
      </c>
      <c r="F19">
        <v>2.5685173615086918</v>
      </c>
      <c r="G19">
        <v>4.9213816211813723</v>
      </c>
      <c r="H19">
        <v>0.25</v>
      </c>
      <c r="I19">
        <v>0.53619026473818043</v>
      </c>
      <c r="J19">
        <v>0.52149999999999996</v>
      </c>
      <c r="K19">
        <v>0.78698014587408738</v>
      </c>
      <c r="L19">
        <v>0.63549999999999995</v>
      </c>
      <c r="M19">
        <v>0.98750782951134586</v>
      </c>
      <c r="N19">
        <v>0.98579071384201256</v>
      </c>
      <c r="O19">
        <v>0.98579071384201256</v>
      </c>
      <c r="P19">
        <v>0.98750782951134586</v>
      </c>
      <c r="Q19">
        <v>0.98750782951134586</v>
      </c>
      <c r="R19">
        <v>0.98819512220407901</v>
      </c>
      <c r="S19">
        <v>0.98819512220407901</v>
      </c>
      <c r="T19">
        <v>0.98974103363644605</v>
      </c>
      <c r="U19">
        <v>0.98974103363644605</v>
      </c>
      <c r="V19">
        <v>1.148326558444779</v>
      </c>
      <c r="W19">
        <v>0.15</v>
      </c>
      <c r="X19">
        <v>0.85</v>
      </c>
      <c r="Y19">
        <v>0.39850830531705439</v>
      </c>
      <c r="Z19">
        <v>2.9861530108694981E-2</v>
      </c>
      <c r="AA19">
        <v>6.8955781839860508E-2</v>
      </c>
      <c r="AB19">
        <v>1.2964449653692719E-2</v>
      </c>
      <c r="AC19">
        <v>0.39955541733334171</v>
      </c>
      <c r="AD19">
        <v>3.4964671145436409E-2</v>
      </c>
      <c r="AE19">
        <v>7.6869917673441243E-2</v>
      </c>
      <c r="AF19">
        <v>1.2775132114170451E-2</v>
      </c>
      <c r="AG19">
        <v>0.43954293008680662</v>
      </c>
      <c r="AH19">
        <v>2.7135633104355562E-2</v>
      </c>
      <c r="AI19">
        <v>7.1854011097344933E-2</v>
      </c>
      <c r="AJ19">
        <v>2.418124695296996E-2</v>
      </c>
      <c r="AK19">
        <v>0.44620108858192242</v>
      </c>
      <c r="AL19">
        <v>2.704122429687953E-2</v>
      </c>
      <c r="AM19">
        <v>7.7544185707851182E-2</v>
      </c>
      <c r="AN19">
        <v>3.2611263689729157E-2</v>
      </c>
    </row>
    <row r="20" spans="1:40">
      <c r="A20">
        <v>114</v>
      </c>
      <c r="B20">
        <v>7.5431889634689409</v>
      </c>
      <c r="C20">
        <v>7.9596156372608791</v>
      </c>
      <c r="D20">
        <v>17.949906229682359</v>
      </c>
      <c r="E20">
        <v>2.3863946694553908</v>
      </c>
      <c r="F20">
        <v>2.3757868720305111</v>
      </c>
      <c r="G20">
        <v>4.0131122314856622</v>
      </c>
      <c r="H20">
        <v>0.32</v>
      </c>
      <c r="I20">
        <v>0.52687759489277963</v>
      </c>
      <c r="J20">
        <v>0.68079999999999996</v>
      </c>
      <c r="K20">
        <v>0.84232497291722264</v>
      </c>
      <c r="L20">
        <v>0.50849999999999995</v>
      </c>
      <c r="M20">
        <v>0.984459427423239</v>
      </c>
      <c r="N20">
        <v>0.98248392490497749</v>
      </c>
      <c r="O20">
        <v>0.98248392490497749</v>
      </c>
      <c r="P20">
        <v>0.984459427423239</v>
      </c>
      <c r="Q20">
        <v>0.984459427423239</v>
      </c>
      <c r="R20">
        <v>0.98580079680583421</v>
      </c>
      <c r="S20">
        <v>0.98580079680583421</v>
      </c>
      <c r="T20">
        <v>0.98786227087927314</v>
      </c>
      <c r="U20">
        <v>0.98786227087927314</v>
      </c>
      <c r="V20">
        <v>1.194291667219781</v>
      </c>
      <c r="W20">
        <v>0.12</v>
      </c>
      <c r="X20">
        <v>0.88</v>
      </c>
      <c r="Y20">
        <v>0.39575619408333951</v>
      </c>
      <c r="Z20">
        <v>2.9389594846725719E-2</v>
      </c>
      <c r="AA20">
        <v>7.0243459906933717E-2</v>
      </c>
      <c r="AB20">
        <v>1.4608809433921011E-2</v>
      </c>
      <c r="AC20">
        <v>0.39741996471437713</v>
      </c>
      <c r="AD20">
        <v>3.2888066448370758E-2</v>
      </c>
      <c r="AE20">
        <v>7.570618882393583E-2</v>
      </c>
      <c r="AF20">
        <v>1.1582227826019901E-2</v>
      </c>
      <c r="AG20">
        <v>0.43525285326593949</v>
      </c>
      <c r="AH20">
        <v>2.6517744450066182E-2</v>
      </c>
      <c r="AI20">
        <v>7.1271573272613825E-2</v>
      </c>
      <c r="AJ20">
        <v>2.5029111623404949E-2</v>
      </c>
      <c r="AK20">
        <v>0.44337289118952528</v>
      </c>
      <c r="AL20">
        <v>2.761829196489857E-2</v>
      </c>
      <c r="AM20">
        <v>7.4711130193715961E-2</v>
      </c>
      <c r="AN20">
        <v>2.9456021993396149E-2</v>
      </c>
    </row>
    <row r="21" spans="1:40">
      <c r="A21">
        <v>120</v>
      </c>
      <c r="B21">
        <v>7.9160602729521621</v>
      </c>
      <c r="C21">
        <v>8.3458446864113665</v>
      </c>
      <c r="D21">
        <v>18.089253843479561</v>
      </c>
      <c r="E21">
        <v>2.4907157245952072</v>
      </c>
      <c r="F21">
        <v>2.52495132055091</v>
      </c>
      <c r="G21">
        <v>3.9983545824807951</v>
      </c>
      <c r="H21">
        <v>0.32</v>
      </c>
      <c r="I21">
        <v>0.58103356185335808</v>
      </c>
      <c r="J21">
        <v>0.68100000000000005</v>
      </c>
      <c r="K21">
        <v>0.86766295299499785</v>
      </c>
      <c r="L21">
        <v>0.52449999999999997</v>
      </c>
      <c r="M21">
        <v>0.98452039110574552</v>
      </c>
      <c r="N21">
        <v>0.98201120892271787</v>
      </c>
      <c r="O21">
        <v>0.98201120892271787</v>
      </c>
      <c r="P21">
        <v>0.98452039110574552</v>
      </c>
      <c r="Q21">
        <v>0.98452039110574552</v>
      </c>
      <c r="R21">
        <v>0.98633152985755079</v>
      </c>
      <c r="S21">
        <v>0.98633152985755079</v>
      </c>
      <c r="T21">
        <v>0.98869409928044094</v>
      </c>
      <c r="U21">
        <v>0.98869409928044094</v>
      </c>
      <c r="V21">
        <v>1.259228715405504</v>
      </c>
      <c r="W21">
        <v>7.999999999999996E-2</v>
      </c>
      <c r="X21">
        <v>0.92</v>
      </c>
      <c r="Y21">
        <v>0.39753371296370638</v>
      </c>
      <c r="Z21">
        <v>3.0597218763772312E-2</v>
      </c>
      <c r="AA21">
        <v>6.7091319658953971E-2</v>
      </c>
      <c r="AB21">
        <v>1.401683144306963E-2</v>
      </c>
      <c r="AC21">
        <v>0.39759699854300817</v>
      </c>
      <c r="AD21">
        <v>3.4813204466301047E-2</v>
      </c>
      <c r="AE21">
        <v>7.546774189191037E-2</v>
      </c>
      <c r="AF21">
        <v>1.1388763937092121E-2</v>
      </c>
      <c r="AG21">
        <v>0.44053933130046641</v>
      </c>
      <c r="AH21">
        <v>2.425310203562802E-2</v>
      </c>
      <c r="AI21">
        <v>6.9224332360308921E-2</v>
      </c>
      <c r="AJ21">
        <v>2.293450223630164E-2</v>
      </c>
      <c r="AK21">
        <v>0.44695880367690699</v>
      </c>
      <c r="AL21">
        <v>2.6533131584840369E-2</v>
      </c>
      <c r="AM21">
        <v>7.5171978148769109E-2</v>
      </c>
      <c r="AN21">
        <v>2.691604031734637E-2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00E1-BB19-42FA-A470-63861906478A}">
  <dimension ref="A1:AN21"/>
  <sheetViews>
    <sheetView workbookViewId="0">
      <selection activeCell="F24" sqref="F24"/>
    </sheetView>
  </sheetViews>
  <sheetFormatPr defaultRowHeight="14.1"/>
  <cols>
    <col min="1" max="1" width="4.5" bestFit="1" customWidth="1"/>
    <col min="2" max="2" width="12.44921875" bestFit="1" customWidth="1"/>
    <col min="3" max="3" width="13.34765625" bestFit="1" customWidth="1"/>
    <col min="4" max="4" width="13.59765625" bestFit="1" customWidth="1"/>
    <col min="5" max="5" width="21.09765625" bestFit="1" customWidth="1"/>
    <col min="6" max="6" width="22.046875" bestFit="1" customWidth="1"/>
    <col min="7" max="7" width="22.25" bestFit="1" customWidth="1"/>
    <col min="8" max="8" width="31.44921875" bestFit="1" customWidth="1"/>
    <col min="9" max="9" width="29.19921875" bestFit="1" customWidth="1"/>
    <col min="10" max="10" width="26.84765625" bestFit="1" customWidth="1"/>
    <col min="11" max="11" width="24.59765625" bestFit="1" customWidth="1"/>
    <col min="12" max="12" width="40.6484375" bestFit="1" customWidth="1"/>
    <col min="13" max="13" width="34.046875" bestFit="1" customWidth="1"/>
    <col min="14" max="14" width="28.59765625" bestFit="1" customWidth="1"/>
    <col min="15" max="15" width="36.84765625" bestFit="1" customWidth="1"/>
    <col min="16" max="16" width="27.046875" bestFit="1" customWidth="1"/>
    <col min="17" max="17" width="35.296875" bestFit="1" customWidth="1"/>
    <col min="18" max="18" width="26.546875" bestFit="1" customWidth="1"/>
    <col min="19" max="19" width="34.796875" bestFit="1" customWidth="1"/>
    <col min="20" max="20" width="28.09765625" bestFit="1" customWidth="1"/>
    <col min="21" max="21" width="36.34765625" bestFit="1" customWidth="1"/>
    <col min="22" max="22" width="13.6484375" bestFit="1" customWidth="1"/>
    <col min="23" max="23" width="33.1484375" bestFit="1" customWidth="1"/>
    <col min="24" max="24" width="31.75" bestFit="1" customWidth="1"/>
    <col min="25" max="25" width="30.546875" bestFit="1" customWidth="1"/>
    <col min="26" max="26" width="28.296875" bestFit="1" customWidth="1"/>
    <col min="27" max="27" width="31.1484375" bestFit="1" customWidth="1"/>
    <col min="28" max="28" width="28.8984375" bestFit="1" customWidth="1"/>
    <col min="29" max="29" width="29" bestFit="1" customWidth="1"/>
    <col min="30" max="30" width="26.75" bestFit="1" customWidth="1"/>
    <col min="31" max="31" width="29.59765625" bestFit="1" customWidth="1"/>
    <col min="32" max="32" width="27.34765625" bestFit="1" customWidth="1"/>
    <col min="33" max="33" width="28.5" bestFit="1" customWidth="1"/>
    <col min="34" max="34" width="26.25" bestFit="1" customWidth="1"/>
    <col min="35" max="35" width="29.1484375" bestFit="1" customWidth="1"/>
    <col min="36" max="36" width="26.8984375" bestFit="1" customWidth="1"/>
    <col min="37" max="37" width="30" bestFit="1" customWidth="1"/>
    <col min="38" max="38" width="27.796875" bestFit="1" customWidth="1"/>
    <col min="39" max="39" width="30.6484375" bestFit="1" customWidth="1"/>
    <col min="40" max="40" width="28.3984375" bestFit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6</v>
      </c>
      <c r="B2">
        <v>0.25666666666666671</v>
      </c>
      <c r="C2">
        <v>0.32916674706866139</v>
      </c>
      <c r="D2">
        <v>11.069444444444439</v>
      </c>
      <c r="E2">
        <v>0.35290067850443257</v>
      </c>
      <c r="F2">
        <v>0.44232256626158678</v>
      </c>
      <c r="G2">
        <v>15.17700985327544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0</v>
      </c>
      <c r="Y2">
        <v>0.38704156565656561</v>
      </c>
      <c r="Z2">
        <v>0.1209815671258006</v>
      </c>
      <c r="AA2">
        <v>7.644279575328615E-2</v>
      </c>
      <c r="AB2">
        <v>3.243910742951453E-2</v>
      </c>
      <c r="AC2">
        <v>0.39327666666666672</v>
      </c>
      <c r="AD2">
        <v>0.14214055293577871</v>
      </c>
      <c r="AE2">
        <v>6.9653469274977897E-2</v>
      </c>
      <c r="AF2">
        <v>1.475491630651511E-2</v>
      </c>
      <c r="AG2">
        <v>0.40092552308802298</v>
      </c>
      <c r="AH2">
        <v>0.12071434991041501</v>
      </c>
      <c r="AI2">
        <v>7.0667639918663192E-2</v>
      </c>
      <c r="AJ2">
        <v>3.6036090903447893E-2</v>
      </c>
      <c r="AK2">
        <v>0.40716062409812398</v>
      </c>
      <c r="AL2">
        <v>0.141301860302539</v>
      </c>
      <c r="AM2">
        <v>5.8600564102564097E-2</v>
      </c>
      <c r="AN2">
        <v>2.3476036939615759E-2</v>
      </c>
    </row>
    <row r="3" spans="1:40">
      <c r="A3">
        <v>12</v>
      </c>
      <c r="B3">
        <v>0.58821761571761566</v>
      </c>
      <c r="C3">
        <v>0.74346674545162372</v>
      </c>
      <c r="D3">
        <v>12.776772949272949</v>
      </c>
      <c r="E3">
        <v>0.56794563551944199</v>
      </c>
      <c r="F3">
        <v>0.71002303609325512</v>
      </c>
      <c r="G3">
        <v>12.11273276857769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0.98255555555555563</v>
      </c>
      <c r="O3">
        <v>1</v>
      </c>
      <c r="P3">
        <v>0.98111111111111116</v>
      </c>
      <c r="Q3">
        <v>1</v>
      </c>
      <c r="R3">
        <v>0.98255555555555563</v>
      </c>
      <c r="S3">
        <v>1</v>
      </c>
      <c r="T3">
        <v>0.98111111111111116</v>
      </c>
      <c r="U3">
        <v>1</v>
      </c>
      <c r="V3">
        <v>0</v>
      </c>
      <c r="W3">
        <v>1</v>
      </c>
      <c r="X3">
        <v>0</v>
      </c>
      <c r="Y3">
        <v>0.37624553938063993</v>
      </c>
      <c r="Z3">
        <v>7.130044930191444E-2</v>
      </c>
      <c r="AA3">
        <v>7.3714186515278182E-2</v>
      </c>
      <c r="AB3">
        <v>2.34331169512546E-2</v>
      </c>
      <c r="AC3">
        <v>0.37724359420893849</v>
      </c>
      <c r="AD3">
        <v>7.7168808669211636E-2</v>
      </c>
      <c r="AE3">
        <v>7.9703504571554923E-2</v>
      </c>
      <c r="AF3">
        <v>2.1288204009595361E-2</v>
      </c>
      <c r="AG3">
        <v>0.4014141751331699</v>
      </c>
      <c r="AH3">
        <v>6.813430725426535E-2</v>
      </c>
      <c r="AI3">
        <v>6.636640007126858E-2</v>
      </c>
      <c r="AJ3">
        <v>2.6494653513788279E-2</v>
      </c>
      <c r="AK3">
        <v>0.40305595274625161</v>
      </c>
      <c r="AL3">
        <v>7.5167284575625756E-2</v>
      </c>
      <c r="AM3">
        <v>6.6396324371021845E-2</v>
      </c>
      <c r="AN3">
        <v>2.7683505064323891E-2</v>
      </c>
    </row>
    <row r="4" spans="1:40">
      <c r="A4">
        <v>18</v>
      </c>
      <c r="B4">
        <v>0.86107125724517031</v>
      </c>
      <c r="C4">
        <v>1.057428339066838</v>
      </c>
      <c r="D4">
        <v>12.887832361881269</v>
      </c>
      <c r="E4">
        <v>0.78461375961802415</v>
      </c>
      <c r="F4">
        <v>0.9503467991703779</v>
      </c>
      <c r="G4">
        <v>11.32887832346205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0.97007664557664552</v>
      </c>
      <c r="O4">
        <v>1</v>
      </c>
      <c r="P4">
        <v>0.96637373737373744</v>
      </c>
      <c r="Q4">
        <v>1</v>
      </c>
      <c r="R4">
        <v>0.97365864325732765</v>
      </c>
      <c r="S4">
        <v>1</v>
      </c>
      <c r="T4">
        <v>0.97031961094461094</v>
      </c>
      <c r="U4">
        <v>1</v>
      </c>
      <c r="V4">
        <v>0</v>
      </c>
      <c r="W4">
        <v>1</v>
      </c>
      <c r="X4">
        <v>0</v>
      </c>
      <c r="Y4">
        <v>0.39554535833392679</v>
      </c>
      <c r="Z4">
        <v>5.5750984945180992E-2</v>
      </c>
      <c r="AA4">
        <v>8.5119618457493634E-2</v>
      </c>
      <c r="AB4">
        <v>2.819139150847582E-2</v>
      </c>
      <c r="AC4">
        <v>0.39742581901391538</v>
      </c>
      <c r="AD4">
        <v>6.3673881130222765E-2</v>
      </c>
      <c r="AE4">
        <v>8.9272545990728161E-2</v>
      </c>
      <c r="AF4">
        <v>3.0420150110887861E-2</v>
      </c>
      <c r="AG4">
        <v>0.41622672820326229</v>
      </c>
      <c r="AH4">
        <v>5.347598078784211E-2</v>
      </c>
      <c r="AI4">
        <v>8.0143479099134871E-2</v>
      </c>
      <c r="AJ4">
        <v>3.3161013806452463E-2</v>
      </c>
      <c r="AK4">
        <v>0.42033499208652048</v>
      </c>
      <c r="AL4">
        <v>6.0732364183102627E-2</v>
      </c>
      <c r="AM4">
        <v>7.9723634358647377E-2</v>
      </c>
      <c r="AN4">
        <v>3.7708464887763651E-2</v>
      </c>
    </row>
    <row r="5" spans="1:40">
      <c r="A5">
        <v>24</v>
      </c>
      <c r="B5">
        <v>1.371508918911196</v>
      </c>
      <c r="C5">
        <v>1.6416941442213671</v>
      </c>
      <c r="D5">
        <v>15.19010466476665</v>
      </c>
      <c r="E5">
        <v>0.89001990418434762</v>
      </c>
      <c r="F5">
        <v>1.03015918217782</v>
      </c>
      <c r="G5">
        <v>9.1107479058381617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0.96334406533439032</v>
      </c>
      <c r="O5">
        <v>1</v>
      </c>
      <c r="P5">
        <v>0.95814184061552476</v>
      </c>
      <c r="Q5">
        <v>1</v>
      </c>
      <c r="R5">
        <v>0.96832020765798876</v>
      </c>
      <c r="S5">
        <v>1</v>
      </c>
      <c r="T5">
        <v>0.96393878578832815</v>
      </c>
      <c r="U5">
        <v>1</v>
      </c>
      <c r="V5">
        <v>0</v>
      </c>
      <c r="W5">
        <v>1</v>
      </c>
      <c r="X5">
        <v>0</v>
      </c>
      <c r="Y5">
        <v>0.38558350420307769</v>
      </c>
      <c r="Z5">
        <v>4.6102557035098593E-2</v>
      </c>
      <c r="AA5">
        <v>8.1050851054269304E-2</v>
      </c>
      <c r="AB5">
        <v>2.5078135949740891E-2</v>
      </c>
      <c r="AC5">
        <v>0.38379066925532712</v>
      </c>
      <c r="AD5">
        <v>4.6909801869783101E-2</v>
      </c>
      <c r="AE5">
        <v>9.2099024092302334E-2</v>
      </c>
      <c r="AF5">
        <v>2.0754559794817572E-2</v>
      </c>
      <c r="AG5">
        <v>0.41718547045909132</v>
      </c>
      <c r="AH5">
        <v>3.7984016493689952E-2</v>
      </c>
      <c r="AI5">
        <v>7.6796071290903697E-2</v>
      </c>
      <c r="AJ5">
        <v>3.0549834382708939E-2</v>
      </c>
      <c r="AK5">
        <v>0.41919370464601569</v>
      </c>
      <c r="AL5">
        <v>3.8066257799621431E-2</v>
      </c>
      <c r="AM5">
        <v>8.200400401855705E-2</v>
      </c>
      <c r="AN5">
        <v>3.1526891960326799E-2</v>
      </c>
    </row>
    <row r="6" spans="1:40">
      <c r="A6">
        <v>30</v>
      </c>
      <c r="B6">
        <v>1.8012147432512839</v>
      </c>
      <c r="C6">
        <v>2.1087958215042502</v>
      </c>
      <c r="D6">
        <v>16.244733300492278</v>
      </c>
      <c r="E6">
        <v>0.95940621457303954</v>
      </c>
      <c r="F6">
        <v>1.0807028382818831</v>
      </c>
      <c r="G6">
        <v>7.7693731724173292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0.96388761564783909</v>
      </c>
      <c r="O6">
        <v>1</v>
      </c>
      <c r="P6">
        <v>0.96002879606633484</v>
      </c>
      <c r="Q6">
        <v>1</v>
      </c>
      <c r="R6">
        <v>0.96911180875185432</v>
      </c>
      <c r="S6">
        <v>1</v>
      </c>
      <c r="T6">
        <v>0.96591239161968734</v>
      </c>
      <c r="U6">
        <v>1</v>
      </c>
      <c r="V6">
        <v>0</v>
      </c>
      <c r="W6">
        <v>1</v>
      </c>
      <c r="X6">
        <v>0</v>
      </c>
      <c r="Y6">
        <v>0.37984665866211159</v>
      </c>
      <c r="Z6">
        <v>4.5034088958434443E-2</v>
      </c>
      <c r="AA6">
        <v>8.3233814663039862E-2</v>
      </c>
      <c r="AB6">
        <v>2.3030175263459199E-2</v>
      </c>
      <c r="AC6">
        <v>0.37833596080400261</v>
      </c>
      <c r="AD6">
        <v>5.0160941159683732E-2</v>
      </c>
      <c r="AE6">
        <v>9.1925487503600731E-2</v>
      </c>
      <c r="AF6">
        <v>2.4521291953111309E-2</v>
      </c>
      <c r="AG6">
        <v>0.41350290953346908</v>
      </c>
      <c r="AH6">
        <v>4.1067617224334052E-2</v>
      </c>
      <c r="AI6">
        <v>7.9703425309316234E-2</v>
      </c>
      <c r="AJ6">
        <v>2.9335265194267879E-2</v>
      </c>
      <c r="AK6">
        <v>0.41806018089876829</v>
      </c>
      <c r="AL6">
        <v>4.328227476439396E-2</v>
      </c>
      <c r="AM6">
        <v>8.3801803920261972E-2</v>
      </c>
      <c r="AN6">
        <v>3.288976017195077E-2</v>
      </c>
    </row>
    <row r="7" spans="1:40">
      <c r="A7">
        <v>36</v>
      </c>
      <c r="B7">
        <v>2.173368819117651</v>
      </c>
      <c r="C7">
        <v>2.529506689918009</v>
      </c>
      <c r="D7">
        <v>16.612608886147271</v>
      </c>
      <c r="E7">
        <v>1.0574400787977329</v>
      </c>
      <c r="F7">
        <v>1.165387992018456</v>
      </c>
      <c r="G7">
        <v>6.8387537541913268</v>
      </c>
      <c r="H7">
        <v>0.02</v>
      </c>
      <c r="I7">
        <v>0.14000000000000001</v>
      </c>
      <c r="J7">
        <v>4.4299999999999999E-2</v>
      </c>
      <c r="K7">
        <v>0.24194526240453651</v>
      </c>
      <c r="L7">
        <v>0.96379999999999999</v>
      </c>
      <c r="M7">
        <v>0.99685487179487176</v>
      </c>
      <c r="N7">
        <v>0.96108994295016659</v>
      </c>
      <c r="O7">
        <v>0.99644665217391304</v>
      </c>
      <c r="P7">
        <v>0.95739900460288141</v>
      </c>
      <c r="Q7">
        <v>0.99737489035087723</v>
      </c>
      <c r="R7">
        <v>0.96862274710539698</v>
      </c>
      <c r="S7">
        <v>0.99672647126786251</v>
      </c>
      <c r="T7">
        <v>0.96627318575876109</v>
      </c>
      <c r="U7">
        <v>0.9976729323308271</v>
      </c>
      <c r="V7">
        <v>6.4240847674752757E-2</v>
      </c>
      <c r="W7">
        <v>0.92999999999999994</v>
      </c>
      <c r="X7">
        <v>7.0000000000000007E-2</v>
      </c>
      <c r="Y7">
        <v>0.38678039023877558</v>
      </c>
      <c r="Z7">
        <v>4.194830873133451E-2</v>
      </c>
      <c r="AA7">
        <v>8.1971383941425016E-2</v>
      </c>
      <c r="AB7">
        <v>2.0949935718790551E-2</v>
      </c>
      <c r="AC7">
        <v>0.38710336322287159</v>
      </c>
      <c r="AD7">
        <v>4.3493824616280367E-2</v>
      </c>
      <c r="AE7">
        <v>9.4297203270521754E-2</v>
      </c>
      <c r="AF7">
        <v>2.1726952966766001E-2</v>
      </c>
      <c r="AG7">
        <v>0.42631236996441207</v>
      </c>
      <c r="AH7">
        <v>3.4661736801451563E-2</v>
      </c>
      <c r="AI7">
        <v>8.2511408356140112E-2</v>
      </c>
      <c r="AJ7">
        <v>2.9204458802592731E-2</v>
      </c>
      <c r="AK7">
        <v>0.43116734970047038</v>
      </c>
      <c r="AL7">
        <v>3.5271452751402817E-2</v>
      </c>
      <c r="AM7">
        <v>9.0711778205246577E-2</v>
      </c>
      <c r="AN7">
        <v>3.5226592891024137E-2</v>
      </c>
    </row>
    <row r="8" spans="1:40">
      <c r="A8">
        <v>42</v>
      </c>
      <c r="B8">
        <v>2.5080932352380358</v>
      </c>
      <c r="C8">
        <v>2.8441964543614091</v>
      </c>
      <c r="D8">
        <v>16.39682873021226</v>
      </c>
      <c r="E8">
        <v>1.2410090061534551</v>
      </c>
      <c r="F8">
        <v>1.3363742605811999</v>
      </c>
      <c r="G8">
        <v>7.2315821276128958</v>
      </c>
      <c r="H8">
        <v>0</v>
      </c>
      <c r="I8">
        <v>0</v>
      </c>
      <c r="J8">
        <v>5.7000000000000002E-3</v>
      </c>
      <c r="K8">
        <v>7.5282866576665372E-2</v>
      </c>
      <c r="L8">
        <v>0.99429999999999996</v>
      </c>
      <c r="M8">
        <v>0.99970000000000003</v>
      </c>
      <c r="N8">
        <v>0.95539402415117236</v>
      </c>
      <c r="O8">
        <v>0.99979642857142859</v>
      </c>
      <c r="P8">
        <v>0.95044068018790018</v>
      </c>
      <c r="Q8">
        <v>0.99979642857142859</v>
      </c>
      <c r="R8">
        <v>0.96357173280704156</v>
      </c>
      <c r="S8">
        <v>0.99979642857142859</v>
      </c>
      <c r="T8">
        <v>0.95996394700619492</v>
      </c>
      <c r="U8">
        <v>0.99979642857142859</v>
      </c>
      <c r="V8">
        <v>3.9392756192799777E-2</v>
      </c>
      <c r="W8">
        <v>0.92999999999999994</v>
      </c>
      <c r="X8">
        <v>7.0000000000000007E-2</v>
      </c>
      <c r="Y8">
        <v>0.38447374120169292</v>
      </c>
      <c r="Z8">
        <v>3.2386620169423432E-2</v>
      </c>
      <c r="AA8">
        <v>8.3545893455286319E-2</v>
      </c>
      <c r="AB8">
        <v>1.964551439789761E-2</v>
      </c>
      <c r="AC8">
        <v>0.38414211685010202</v>
      </c>
      <c r="AD8">
        <v>3.6781786001803589E-2</v>
      </c>
      <c r="AE8">
        <v>9.6353527989788024E-2</v>
      </c>
      <c r="AF8">
        <v>1.9065759284560529E-2</v>
      </c>
      <c r="AG8">
        <v>0.41732732316385829</v>
      </c>
      <c r="AH8">
        <v>3.1828138397042953E-2</v>
      </c>
      <c r="AI8">
        <v>7.9824632733992248E-2</v>
      </c>
      <c r="AJ8">
        <v>2.621652291272062E-2</v>
      </c>
      <c r="AK8">
        <v>0.4210014174077264</v>
      </c>
      <c r="AL8">
        <v>3.6088408732842601E-2</v>
      </c>
      <c r="AM8">
        <v>8.6952400777212946E-2</v>
      </c>
      <c r="AN8">
        <v>2.8966316734484941E-2</v>
      </c>
    </row>
    <row r="9" spans="1:40">
      <c r="A9">
        <v>48</v>
      </c>
      <c r="B9">
        <v>3.0363998784813231</v>
      </c>
      <c r="C9">
        <v>3.397622381633683</v>
      </c>
      <c r="D9">
        <v>17.393532618573751</v>
      </c>
      <c r="E9">
        <v>1.1879313576332049</v>
      </c>
      <c r="F9">
        <v>1.2151149605978</v>
      </c>
      <c r="G9">
        <v>5.4604719848727994</v>
      </c>
      <c r="H9">
        <v>0.08</v>
      </c>
      <c r="I9">
        <v>0.30594117081556699</v>
      </c>
      <c r="J9">
        <v>0.1004</v>
      </c>
      <c r="K9">
        <v>0.33603547431781661</v>
      </c>
      <c r="L9">
        <v>0.91090000000000004</v>
      </c>
      <c r="M9">
        <v>0.99474038969706868</v>
      </c>
      <c r="N9">
        <v>0.95601216079019691</v>
      </c>
      <c r="O9">
        <v>0.99547028219902989</v>
      </c>
      <c r="P9">
        <v>0.95130737409207355</v>
      </c>
      <c r="Q9">
        <v>0.99542160662828572</v>
      </c>
      <c r="R9">
        <v>0.96500055083535552</v>
      </c>
      <c r="S9">
        <v>0.99590647065855897</v>
      </c>
      <c r="T9">
        <v>0.96188611382303224</v>
      </c>
      <c r="U9">
        <v>0.99591906727531732</v>
      </c>
      <c r="V9">
        <v>0.20912468769473899</v>
      </c>
      <c r="W9">
        <v>0.75</v>
      </c>
      <c r="X9">
        <v>0.25</v>
      </c>
      <c r="Y9">
        <v>0.38618133564721552</v>
      </c>
      <c r="Z9">
        <v>4.2898390717804193E-2</v>
      </c>
      <c r="AA9">
        <v>8.4255472158838524E-2</v>
      </c>
      <c r="AB9">
        <v>2.1490806072683669E-2</v>
      </c>
      <c r="AC9">
        <v>0.3841355763016438</v>
      </c>
      <c r="AD9">
        <v>4.5373191286574813E-2</v>
      </c>
      <c r="AE9">
        <v>9.4881957660594707E-2</v>
      </c>
      <c r="AF9">
        <v>2.33409611200152E-2</v>
      </c>
      <c r="AG9">
        <v>0.42501693530319051</v>
      </c>
      <c r="AH9">
        <v>3.3649285828756897E-2</v>
      </c>
      <c r="AI9">
        <v>8.3870189982289026E-2</v>
      </c>
      <c r="AJ9">
        <v>2.8849767752473041E-2</v>
      </c>
      <c r="AK9">
        <v>0.4287555744058974</v>
      </c>
      <c r="AL9">
        <v>3.3458949615761888E-2</v>
      </c>
      <c r="AM9">
        <v>9.0361944083190843E-2</v>
      </c>
      <c r="AN9">
        <v>3.4475625314284587E-2</v>
      </c>
    </row>
    <row r="10" spans="1:40">
      <c r="A10">
        <v>54</v>
      </c>
      <c r="B10">
        <v>3.40773484445995</v>
      </c>
      <c r="C10">
        <v>3.8210037212138079</v>
      </c>
      <c r="D10">
        <v>17.318159807036619</v>
      </c>
      <c r="E10">
        <v>1.2311183417942839</v>
      </c>
      <c r="F10">
        <v>1.2426777955147259</v>
      </c>
      <c r="G10">
        <v>4.9297114461954417</v>
      </c>
      <c r="H10">
        <v>0.04</v>
      </c>
      <c r="I10">
        <v>0.1959591794226542</v>
      </c>
      <c r="J10">
        <v>5.5300000000000002E-2</v>
      </c>
      <c r="K10">
        <v>0.24050345111868979</v>
      </c>
      <c r="L10">
        <v>0.94750000000000001</v>
      </c>
      <c r="M10">
        <v>0.99742342541135443</v>
      </c>
      <c r="N10">
        <v>0.95803303742697132</v>
      </c>
      <c r="O10">
        <v>0.99773540416680717</v>
      </c>
      <c r="P10">
        <v>0.95379367018210492</v>
      </c>
      <c r="Q10">
        <v>0.99781139686823894</v>
      </c>
      <c r="R10">
        <v>0.96568013047677381</v>
      </c>
      <c r="S10">
        <v>0.9980030197475156</v>
      </c>
      <c r="T10">
        <v>0.9627688591121516</v>
      </c>
      <c r="U10">
        <v>0.99809480027738096</v>
      </c>
      <c r="V10">
        <v>0.11553470231819429</v>
      </c>
      <c r="W10">
        <v>0.76</v>
      </c>
      <c r="X10">
        <v>0.24</v>
      </c>
      <c r="Y10">
        <v>0.38472421925135858</v>
      </c>
      <c r="Z10">
        <v>3.2332864150148972E-2</v>
      </c>
      <c r="AA10">
        <v>8.1601769290761392E-2</v>
      </c>
      <c r="AB10">
        <v>1.9237190507001241E-2</v>
      </c>
      <c r="AC10">
        <v>0.38597572804577363</v>
      </c>
      <c r="AD10">
        <v>3.6753765021050787E-2</v>
      </c>
      <c r="AE10">
        <v>9.3241259157143749E-2</v>
      </c>
      <c r="AF10">
        <v>2.3167696152079691E-2</v>
      </c>
      <c r="AG10">
        <v>0.41688715741660848</v>
      </c>
      <c r="AH10">
        <v>3.0580590090544729E-2</v>
      </c>
      <c r="AI10">
        <v>7.6961099774236999E-2</v>
      </c>
      <c r="AJ10">
        <v>2.5472849004868531E-2</v>
      </c>
      <c r="AK10">
        <v>0.42303822453175072</v>
      </c>
      <c r="AL10">
        <v>3.2885147178629053E-2</v>
      </c>
      <c r="AM10">
        <v>8.3126059333283056E-2</v>
      </c>
      <c r="AN10">
        <v>3.0720959683797129E-2</v>
      </c>
    </row>
    <row r="11" spans="1:40">
      <c r="A11">
        <v>60</v>
      </c>
      <c r="B11">
        <v>3.7554390615224111</v>
      </c>
      <c r="C11">
        <v>4.1373700288572213</v>
      </c>
      <c r="D11">
        <v>17.340092376952729</v>
      </c>
      <c r="E11">
        <v>1.4378735797620541</v>
      </c>
      <c r="F11">
        <v>1.4599751688175531</v>
      </c>
      <c r="G11">
        <v>5.2095691007855303</v>
      </c>
      <c r="H11">
        <v>0.12</v>
      </c>
      <c r="I11">
        <v>0.38157568056677832</v>
      </c>
      <c r="J11">
        <v>0.1545</v>
      </c>
      <c r="K11">
        <v>0.44858639078777229</v>
      </c>
      <c r="L11">
        <v>0.87539999999999996</v>
      </c>
      <c r="M11">
        <v>0.99345488757619205</v>
      </c>
      <c r="N11">
        <v>0.9481154585679078</v>
      </c>
      <c r="O11">
        <v>0.99423422429852126</v>
      </c>
      <c r="P11">
        <v>0.94305965519340407</v>
      </c>
      <c r="Q11">
        <v>0.99485881143083477</v>
      </c>
      <c r="R11">
        <v>0.95771407803378061</v>
      </c>
      <c r="S11">
        <v>0.99483128794282949</v>
      </c>
      <c r="T11">
        <v>0.95432997252785023</v>
      </c>
      <c r="U11">
        <v>0.99538106116341918</v>
      </c>
      <c r="V11">
        <v>0.30287566513783498</v>
      </c>
      <c r="W11">
        <v>0.62</v>
      </c>
      <c r="X11">
        <v>0.38</v>
      </c>
      <c r="Y11">
        <v>0.38262291736445558</v>
      </c>
      <c r="Z11">
        <v>2.9192120071199659E-2</v>
      </c>
      <c r="AA11">
        <v>8.6793003642258254E-2</v>
      </c>
      <c r="AB11">
        <v>2.0641269679684961E-2</v>
      </c>
      <c r="AC11">
        <v>0.37945899133997352</v>
      </c>
      <c r="AD11">
        <v>3.1144517344416828E-2</v>
      </c>
      <c r="AE11">
        <v>9.9642622451357271E-2</v>
      </c>
      <c r="AF11">
        <v>2.3889184634131699E-2</v>
      </c>
      <c r="AG11">
        <v>0.41855872500683949</v>
      </c>
      <c r="AH11">
        <v>3.1717486408312859E-2</v>
      </c>
      <c r="AI11">
        <v>8.5544488760966306E-2</v>
      </c>
      <c r="AJ11">
        <v>2.9527133087536021E-2</v>
      </c>
      <c r="AK11">
        <v>0.42130055156226148</v>
      </c>
      <c r="AL11">
        <v>3.3641123851883177E-2</v>
      </c>
      <c r="AM11">
        <v>9.3966114492951017E-2</v>
      </c>
      <c r="AN11">
        <v>3.5779433401243198E-2</v>
      </c>
    </row>
    <row r="12" spans="1:40">
      <c r="A12">
        <v>66</v>
      </c>
      <c r="B12">
        <v>4.3101184473050891</v>
      </c>
      <c r="C12">
        <v>4.6951447990114561</v>
      </c>
      <c r="D12">
        <v>17.895784636665031</v>
      </c>
      <c r="E12">
        <v>1.5712205181481029</v>
      </c>
      <c r="F12">
        <v>1.6160496188924161</v>
      </c>
      <c r="G12">
        <v>5.3790432579621266</v>
      </c>
      <c r="H12">
        <v>0.16</v>
      </c>
      <c r="I12">
        <v>0.39293765408776998</v>
      </c>
      <c r="J12">
        <v>0.26889999999999997</v>
      </c>
      <c r="K12">
        <v>0.53869545199490965</v>
      </c>
      <c r="L12">
        <v>0.77059999999999995</v>
      </c>
      <c r="M12">
        <v>0.98949807379232224</v>
      </c>
      <c r="N12">
        <v>0.94841556745098698</v>
      </c>
      <c r="O12">
        <v>0.99142184039631975</v>
      </c>
      <c r="P12">
        <v>0.94251839029346052</v>
      </c>
      <c r="Q12">
        <v>0.99156629675157126</v>
      </c>
      <c r="R12">
        <v>0.95756890337028744</v>
      </c>
      <c r="S12">
        <v>0.99256808201281765</v>
      </c>
      <c r="T12">
        <v>0.95368207734966326</v>
      </c>
      <c r="U12">
        <v>0.99284582655331399</v>
      </c>
      <c r="V12">
        <v>0.35671085294085458</v>
      </c>
      <c r="W12">
        <v>0.53549999999999998</v>
      </c>
      <c r="X12">
        <v>0.46450000000000002</v>
      </c>
      <c r="Y12">
        <v>0.38495592905027709</v>
      </c>
      <c r="Z12">
        <v>3.020329106612003E-2</v>
      </c>
      <c r="AA12">
        <v>8.4561975178639254E-2</v>
      </c>
      <c r="AB12">
        <v>2.2629240393703572E-2</v>
      </c>
      <c r="AC12">
        <v>0.38377263740201251</v>
      </c>
      <c r="AD12">
        <v>3.2709192564264633E-2</v>
      </c>
      <c r="AE12">
        <v>9.6170707651567447E-2</v>
      </c>
      <c r="AF12">
        <v>2.2039385584505439E-2</v>
      </c>
      <c r="AG12">
        <v>0.42258709466818872</v>
      </c>
      <c r="AH12">
        <v>3.2681272293633587E-2</v>
      </c>
      <c r="AI12">
        <v>8.4324693996508271E-2</v>
      </c>
      <c r="AJ12">
        <v>2.943014008628593E-2</v>
      </c>
      <c r="AK12">
        <v>0.42689077647442952</v>
      </c>
      <c r="AL12">
        <v>3.4124739966016393E-2</v>
      </c>
      <c r="AM12">
        <v>9.1818987399624838E-2</v>
      </c>
      <c r="AN12">
        <v>3.3298968813801247E-2</v>
      </c>
    </row>
    <row r="13" spans="1:40">
      <c r="A13">
        <v>72</v>
      </c>
      <c r="B13">
        <v>4.6348767886581888</v>
      </c>
      <c r="C13">
        <v>5.0279488984768816</v>
      </c>
      <c r="D13">
        <v>17.81361857575483</v>
      </c>
      <c r="E13">
        <v>1.6009538087852211</v>
      </c>
      <c r="F13">
        <v>1.6245054881259371</v>
      </c>
      <c r="G13">
        <v>4.9313866358903713</v>
      </c>
      <c r="H13">
        <v>0.15</v>
      </c>
      <c r="I13">
        <v>0.38405728739343042</v>
      </c>
      <c r="J13">
        <v>0.27179999999999999</v>
      </c>
      <c r="K13">
        <v>0.50963198486751193</v>
      </c>
      <c r="L13">
        <v>0.7591</v>
      </c>
      <c r="M13">
        <v>0.98975414086055558</v>
      </c>
      <c r="N13">
        <v>0.94344152089991873</v>
      </c>
      <c r="O13">
        <v>0.99065480714160403</v>
      </c>
      <c r="P13">
        <v>0.93782208879915396</v>
      </c>
      <c r="Q13">
        <v>0.99203702721535991</v>
      </c>
      <c r="R13">
        <v>0.95484636100411624</v>
      </c>
      <c r="S13">
        <v>0.99220703217283479</v>
      </c>
      <c r="T13">
        <v>0.9510766342426068</v>
      </c>
      <c r="U13">
        <v>0.99346707161981762</v>
      </c>
      <c r="V13">
        <v>0.57212877231232961</v>
      </c>
      <c r="W13">
        <v>0.47</v>
      </c>
      <c r="X13">
        <v>0.53</v>
      </c>
      <c r="Y13">
        <v>0.38707677285761788</v>
      </c>
      <c r="Z13">
        <v>3.3738848716815532E-2</v>
      </c>
      <c r="AA13">
        <v>8.5737845351794628E-2</v>
      </c>
      <c r="AB13">
        <v>2.2029322576593451E-2</v>
      </c>
      <c r="AC13">
        <v>0.38676576198843082</v>
      </c>
      <c r="AD13">
        <v>3.79973969734081E-2</v>
      </c>
      <c r="AE13">
        <v>9.6637839115276486E-2</v>
      </c>
      <c r="AF13">
        <v>2.3304136640300462E-2</v>
      </c>
      <c r="AG13">
        <v>0.42112977651860151</v>
      </c>
      <c r="AH13">
        <v>3.0888339034250169E-2</v>
      </c>
      <c r="AI13">
        <v>8.3420310637614514E-2</v>
      </c>
      <c r="AJ13">
        <v>3.0942537696464711E-2</v>
      </c>
      <c r="AK13">
        <v>0.42537501215016138</v>
      </c>
      <c r="AL13">
        <v>3.4380941030605759E-2</v>
      </c>
      <c r="AM13">
        <v>8.9707184870684201E-2</v>
      </c>
      <c r="AN13">
        <v>3.7203925512430187E-2</v>
      </c>
    </row>
    <row r="14" spans="1:40">
      <c r="A14">
        <v>78</v>
      </c>
      <c r="B14">
        <v>5.0584589691994566</v>
      </c>
      <c r="C14">
        <v>5.4488843621898404</v>
      </c>
      <c r="D14">
        <v>18.01140494827818</v>
      </c>
      <c r="E14">
        <v>1.6214899852507869</v>
      </c>
      <c r="F14">
        <v>1.6408867683440871</v>
      </c>
      <c r="G14">
        <v>4.4752506908359893</v>
      </c>
      <c r="H14">
        <v>0.17</v>
      </c>
      <c r="I14">
        <v>0.44844174649557328</v>
      </c>
      <c r="J14">
        <v>0.30819999999999997</v>
      </c>
      <c r="K14">
        <v>0.57498935642322979</v>
      </c>
      <c r="L14">
        <v>0.75049999999999994</v>
      </c>
      <c r="M14">
        <v>0.98963171448061216</v>
      </c>
      <c r="N14">
        <v>0.94985972313916822</v>
      </c>
      <c r="O14">
        <v>0.99057812283214919</v>
      </c>
      <c r="P14">
        <v>0.94542446173518035</v>
      </c>
      <c r="Q14">
        <v>0.99135487587089699</v>
      </c>
      <c r="R14">
        <v>0.95999143632569228</v>
      </c>
      <c r="S14">
        <v>0.99206283731895251</v>
      </c>
      <c r="T14">
        <v>0.95750218654641828</v>
      </c>
      <c r="U14">
        <v>0.99291836904046704</v>
      </c>
      <c r="V14">
        <v>0.6069952090321501</v>
      </c>
      <c r="W14">
        <v>0.41</v>
      </c>
      <c r="X14">
        <v>0.59</v>
      </c>
      <c r="Y14">
        <v>0.38674253208765258</v>
      </c>
      <c r="Z14">
        <v>3.2315435217510707E-2</v>
      </c>
      <c r="AA14">
        <v>8.2844915671661135E-2</v>
      </c>
      <c r="AB14">
        <v>1.92165205099331E-2</v>
      </c>
      <c r="AC14">
        <v>0.38706356911334638</v>
      </c>
      <c r="AD14">
        <v>3.3596262272958602E-2</v>
      </c>
      <c r="AE14">
        <v>9.3864822050445579E-2</v>
      </c>
      <c r="AF14">
        <v>1.9930550081479089E-2</v>
      </c>
      <c r="AG14">
        <v>0.42423730730736059</v>
      </c>
      <c r="AH14">
        <v>3.0802887909493641E-2</v>
      </c>
      <c r="AI14">
        <v>8.1879473160293578E-2</v>
      </c>
      <c r="AJ14">
        <v>2.6057483388390031E-2</v>
      </c>
      <c r="AK14">
        <v>0.43002179757133491</v>
      </c>
      <c r="AL14">
        <v>3.1874495438857162E-2</v>
      </c>
      <c r="AM14">
        <v>8.8562949737891611E-2</v>
      </c>
      <c r="AN14">
        <v>2.9177507925931379E-2</v>
      </c>
    </row>
    <row r="15" spans="1:40">
      <c r="A15">
        <v>84</v>
      </c>
      <c r="B15">
        <v>5.2385847967839503</v>
      </c>
      <c r="C15">
        <v>5.637743155765949</v>
      </c>
      <c r="D15">
        <v>17.502041136182509</v>
      </c>
      <c r="E15">
        <v>1.678552674398748</v>
      </c>
      <c r="F15">
        <v>1.706060009085077</v>
      </c>
      <c r="G15">
        <v>4.4514592073790658</v>
      </c>
      <c r="H15">
        <v>0.21</v>
      </c>
      <c r="I15">
        <v>0.47528938553264583</v>
      </c>
      <c r="J15">
        <v>0.4582</v>
      </c>
      <c r="K15">
        <v>0.71235718568706818</v>
      </c>
      <c r="L15">
        <v>0.65410000000000001</v>
      </c>
      <c r="M15">
        <v>0.98496080254591467</v>
      </c>
      <c r="N15">
        <v>0.93913462611269138</v>
      </c>
      <c r="O15">
        <v>0.98683494339347422</v>
      </c>
      <c r="P15">
        <v>0.93348769944646937</v>
      </c>
      <c r="Q15">
        <v>0.98801836606207016</v>
      </c>
      <c r="R15">
        <v>0.95056707861776157</v>
      </c>
      <c r="S15">
        <v>0.9885974685313349</v>
      </c>
      <c r="T15">
        <v>0.94699049117381706</v>
      </c>
      <c r="U15">
        <v>0.98989393354654698</v>
      </c>
      <c r="V15">
        <v>0.7409613656169951</v>
      </c>
      <c r="W15">
        <v>0.26</v>
      </c>
      <c r="X15">
        <v>0.74</v>
      </c>
      <c r="Y15">
        <v>0.39266638411430299</v>
      </c>
      <c r="Z15">
        <v>2.885324532338646E-2</v>
      </c>
      <c r="AA15">
        <v>8.8290605497061747E-2</v>
      </c>
      <c r="AB15">
        <v>2.1052786633104021E-2</v>
      </c>
      <c r="AC15">
        <v>0.39082846121635267</v>
      </c>
      <c r="AD15">
        <v>3.1902684789037523E-2</v>
      </c>
      <c r="AE15">
        <v>9.9359031427683014E-2</v>
      </c>
      <c r="AF15">
        <v>2.3304823859498291E-2</v>
      </c>
      <c r="AG15">
        <v>0.42501551242002777</v>
      </c>
      <c r="AH15">
        <v>2.771085799363629E-2</v>
      </c>
      <c r="AI15">
        <v>8.7212316160723224E-2</v>
      </c>
      <c r="AJ15">
        <v>3.0455124976385889E-2</v>
      </c>
      <c r="AK15">
        <v>0.42863237278591082</v>
      </c>
      <c r="AL15">
        <v>3.114212711301417E-2</v>
      </c>
      <c r="AM15">
        <v>9.4173872418745475E-2</v>
      </c>
      <c r="AN15">
        <v>3.6497220319889022E-2</v>
      </c>
    </row>
    <row r="16" spans="1:40">
      <c r="A16">
        <v>90</v>
      </c>
      <c r="B16">
        <v>6.1501393527063417</v>
      </c>
      <c r="C16">
        <v>6.5489561182143428</v>
      </c>
      <c r="D16">
        <v>18.42963859748065</v>
      </c>
      <c r="E16">
        <v>2.0940696219080071</v>
      </c>
      <c r="F16">
        <v>2.1176719890389601</v>
      </c>
      <c r="G16">
        <v>4.7770021724743819</v>
      </c>
      <c r="H16">
        <v>0.2</v>
      </c>
      <c r="I16">
        <v>0.42426406871192851</v>
      </c>
      <c r="J16">
        <v>0.33960000000000001</v>
      </c>
      <c r="K16">
        <v>0.58143945514558948</v>
      </c>
      <c r="L16">
        <v>0.71220000000000006</v>
      </c>
      <c r="M16">
        <v>0.98981041483261889</v>
      </c>
      <c r="N16">
        <v>0.94464121053982131</v>
      </c>
      <c r="O16">
        <v>0.99009750760449555</v>
      </c>
      <c r="P16">
        <v>0.9411744285716297</v>
      </c>
      <c r="Q16">
        <v>0.99144010190112275</v>
      </c>
      <c r="R16">
        <v>0.95563576706265285</v>
      </c>
      <c r="S16">
        <v>0.991900437490426</v>
      </c>
      <c r="T16">
        <v>0.95382245531833521</v>
      </c>
      <c r="U16">
        <v>0.99333220276776413</v>
      </c>
      <c r="V16">
        <v>0.89598873019237746</v>
      </c>
      <c r="W16">
        <v>0.22</v>
      </c>
      <c r="X16">
        <v>0.78</v>
      </c>
      <c r="Y16">
        <v>0.38623287629306918</v>
      </c>
      <c r="Z16">
        <v>2.912753727762122E-2</v>
      </c>
      <c r="AA16">
        <v>7.9844828741788026E-2</v>
      </c>
      <c r="AB16">
        <v>1.948461446076305E-2</v>
      </c>
      <c r="AC16">
        <v>0.38483871254607949</v>
      </c>
      <c r="AD16">
        <v>3.1742608494509383E-2</v>
      </c>
      <c r="AE16">
        <v>9.5558769640687088E-2</v>
      </c>
      <c r="AF16">
        <v>2.248023017247365E-2</v>
      </c>
      <c r="AG16">
        <v>0.41981328930492939</v>
      </c>
      <c r="AH16">
        <v>2.8166743402747701E-2</v>
      </c>
      <c r="AI16">
        <v>7.6517402204141924E-2</v>
      </c>
      <c r="AJ16">
        <v>2.8733660474528529E-2</v>
      </c>
      <c r="AK16">
        <v>0.42248324949794119</v>
      </c>
      <c r="AL16">
        <v>2.97233208096578E-2</v>
      </c>
      <c r="AM16">
        <v>8.5934295257397417E-2</v>
      </c>
      <c r="AN16">
        <v>3.5237260689252099E-2</v>
      </c>
    </row>
    <row r="17" spans="1:40">
      <c r="A17">
        <v>96</v>
      </c>
      <c r="B17">
        <v>6.3579432224772949</v>
      </c>
      <c r="C17">
        <v>6.7958110329867933</v>
      </c>
      <c r="D17">
        <v>18.253796554815139</v>
      </c>
      <c r="E17">
        <v>1.796703196562202</v>
      </c>
      <c r="F17">
        <v>1.7833335833638699</v>
      </c>
      <c r="G17">
        <v>3.945223693231882</v>
      </c>
      <c r="H17">
        <v>0.37</v>
      </c>
      <c r="I17">
        <v>0.61081912216301792</v>
      </c>
      <c r="J17">
        <v>0.5464</v>
      </c>
      <c r="K17">
        <v>0.77488517859099604</v>
      </c>
      <c r="L17">
        <v>0.59850000000000003</v>
      </c>
      <c r="M17">
        <v>0.98467255479521554</v>
      </c>
      <c r="N17">
        <v>0.94173054820843294</v>
      </c>
      <c r="O17">
        <v>0.98696601916975324</v>
      </c>
      <c r="P17">
        <v>0.93639135919372252</v>
      </c>
      <c r="Q17">
        <v>0.98757459410687121</v>
      </c>
      <c r="R17">
        <v>0.9526031715624198</v>
      </c>
      <c r="S17">
        <v>0.98900376381600186</v>
      </c>
      <c r="T17">
        <v>0.94911507276523677</v>
      </c>
      <c r="U17">
        <v>0.98972525550732049</v>
      </c>
      <c r="V17">
        <v>0.95631342012275822</v>
      </c>
      <c r="W17">
        <v>0.14000000000000001</v>
      </c>
      <c r="X17">
        <v>0.86</v>
      </c>
      <c r="Y17">
        <v>0.38754457156396632</v>
      </c>
      <c r="Z17">
        <v>3.3135220189872867E-2</v>
      </c>
      <c r="AA17">
        <v>8.2164543468224618E-2</v>
      </c>
      <c r="AB17">
        <v>1.965840423397805E-2</v>
      </c>
      <c r="AC17">
        <v>0.38427447082316918</v>
      </c>
      <c r="AD17">
        <v>3.6127716825433559E-2</v>
      </c>
      <c r="AE17">
        <v>9.5538146980726282E-2</v>
      </c>
      <c r="AF17">
        <v>1.929292943061316E-2</v>
      </c>
      <c r="AG17">
        <v>0.42461206107274219</v>
      </c>
      <c r="AH17">
        <v>2.634908443124637E-2</v>
      </c>
      <c r="AI17">
        <v>7.8920265564069822E-2</v>
      </c>
      <c r="AJ17">
        <v>2.5053031493939951E-2</v>
      </c>
      <c r="AK17">
        <v>0.42690243219972462</v>
      </c>
      <c r="AL17">
        <v>2.9296334228810499E-2</v>
      </c>
      <c r="AM17">
        <v>8.6697467142422255E-2</v>
      </c>
      <c r="AN17">
        <v>2.822437993119737E-2</v>
      </c>
    </row>
    <row r="18" spans="1:40">
      <c r="A18">
        <v>102</v>
      </c>
      <c r="B18">
        <v>6.9537691029843014</v>
      </c>
      <c r="C18">
        <v>7.3733714531122541</v>
      </c>
      <c r="D18">
        <v>18.686516258605071</v>
      </c>
      <c r="E18">
        <v>1.90772225945292</v>
      </c>
      <c r="F18">
        <v>1.914200675770148</v>
      </c>
      <c r="G18">
        <v>3.6093955670530979</v>
      </c>
      <c r="H18">
        <v>0.35</v>
      </c>
      <c r="I18">
        <v>0.62249497989943658</v>
      </c>
      <c r="J18">
        <v>0.56210000000000004</v>
      </c>
      <c r="K18">
        <v>0.75983129048493392</v>
      </c>
      <c r="L18">
        <v>0.58430000000000004</v>
      </c>
      <c r="M18">
        <v>0.98491169592256411</v>
      </c>
      <c r="N18">
        <v>0.93887794167370853</v>
      </c>
      <c r="O18">
        <v>0.98574627057784781</v>
      </c>
      <c r="P18">
        <v>0.93488782437564111</v>
      </c>
      <c r="Q18">
        <v>0.98784598440516369</v>
      </c>
      <c r="R18">
        <v>0.95080495867908887</v>
      </c>
      <c r="S18">
        <v>0.98831980677557352</v>
      </c>
      <c r="T18">
        <v>0.94867594750007644</v>
      </c>
      <c r="U18">
        <v>0.99028212771669655</v>
      </c>
      <c r="V18">
        <v>1.181739499062413</v>
      </c>
      <c r="W18">
        <v>6.9999999999999951E-2</v>
      </c>
      <c r="X18">
        <v>0.93</v>
      </c>
      <c r="Y18">
        <v>0.39017779123863011</v>
      </c>
      <c r="Z18">
        <v>3.015158439203567E-2</v>
      </c>
      <c r="AA18">
        <v>8.5064799041662364E-2</v>
      </c>
      <c r="AB18">
        <v>2.2375937360980841E-2</v>
      </c>
      <c r="AC18">
        <v>0.38807281610590832</v>
      </c>
      <c r="AD18">
        <v>3.2449235104579137E-2</v>
      </c>
      <c r="AE18">
        <v>9.6729412356705069E-2</v>
      </c>
      <c r="AF18">
        <v>2.1523097703730971E-2</v>
      </c>
      <c r="AG18">
        <v>0.42143425852546429</v>
      </c>
      <c r="AH18">
        <v>2.523361714967718E-2</v>
      </c>
      <c r="AI18">
        <v>8.0502535715670537E-2</v>
      </c>
      <c r="AJ18">
        <v>2.784288584200845E-2</v>
      </c>
      <c r="AK18">
        <v>0.42521498422134513</v>
      </c>
      <c r="AL18">
        <v>2.5827491411151909E-2</v>
      </c>
      <c r="AM18">
        <v>8.6791285895179357E-2</v>
      </c>
      <c r="AN18">
        <v>2.931339278823852E-2</v>
      </c>
    </row>
    <row r="19" spans="1:40">
      <c r="A19">
        <v>108</v>
      </c>
      <c r="B19">
        <v>7.1177304684488956</v>
      </c>
      <c r="C19">
        <v>7.5437226054578863</v>
      </c>
      <c r="D19">
        <v>18.33846526623979</v>
      </c>
      <c r="E19">
        <v>2.2338754077196801</v>
      </c>
      <c r="F19">
        <v>2.227331421558203</v>
      </c>
      <c r="G19">
        <v>4.0127501416430658</v>
      </c>
      <c r="H19">
        <v>0.41</v>
      </c>
      <c r="I19">
        <v>0.64953829756219927</v>
      </c>
      <c r="J19">
        <v>0.74280000000000002</v>
      </c>
      <c r="K19">
        <v>0.89030790179577768</v>
      </c>
      <c r="L19">
        <v>0.4864</v>
      </c>
      <c r="M19">
        <v>0.9811863764659533</v>
      </c>
      <c r="N19">
        <v>0.93810999029814723</v>
      </c>
      <c r="O19">
        <v>0.98281470433462459</v>
      </c>
      <c r="P19">
        <v>0.93370061323746012</v>
      </c>
      <c r="Q19">
        <v>0.98424373805297494</v>
      </c>
      <c r="R19">
        <v>0.94997561865171265</v>
      </c>
      <c r="S19">
        <v>0.98567643048523945</v>
      </c>
      <c r="T19">
        <v>0.94758568813535404</v>
      </c>
      <c r="U19">
        <v>0.98717887140411453</v>
      </c>
      <c r="V19">
        <v>1.338309506205186</v>
      </c>
      <c r="W19">
        <v>0.14000000000000001</v>
      </c>
      <c r="X19">
        <v>0.86</v>
      </c>
      <c r="Y19">
        <v>0.38673299386619292</v>
      </c>
      <c r="Z19">
        <v>2.9834747338971051E-2</v>
      </c>
      <c r="AA19">
        <v>8.7002547066101374E-2</v>
      </c>
      <c r="AB19">
        <v>1.8955814342308031E-2</v>
      </c>
      <c r="AC19">
        <v>0.38552250117240672</v>
      </c>
      <c r="AD19">
        <v>3.3372698294506217E-2</v>
      </c>
      <c r="AE19">
        <v>9.7315996106264721E-2</v>
      </c>
      <c r="AF19">
        <v>2.09572238696282E-2</v>
      </c>
      <c r="AG19">
        <v>0.42471964949752261</v>
      </c>
      <c r="AH19">
        <v>2.7177096761586961E-2</v>
      </c>
      <c r="AI19">
        <v>8.7943314398407135E-2</v>
      </c>
      <c r="AJ19">
        <v>2.817635011643527E-2</v>
      </c>
      <c r="AK19">
        <v>0.42955617854082367</v>
      </c>
      <c r="AL19">
        <v>3.060046465452081E-2</v>
      </c>
      <c r="AM19">
        <v>9.4716663200240567E-2</v>
      </c>
      <c r="AN19">
        <v>3.3209686976114081E-2</v>
      </c>
    </row>
    <row r="20" spans="1:40">
      <c r="A20">
        <v>114</v>
      </c>
      <c r="B20">
        <v>7.7299576853467213</v>
      </c>
      <c r="C20">
        <v>8.1297309501643138</v>
      </c>
      <c r="D20">
        <v>18.712917923490849</v>
      </c>
      <c r="E20">
        <v>2.188161157709708</v>
      </c>
      <c r="F20">
        <v>2.165364628006579</v>
      </c>
      <c r="G20">
        <v>3.6611321361029439</v>
      </c>
      <c r="H20">
        <v>0.34</v>
      </c>
      <c r="I20">
        <v>0.55172456896534883</v>
      </c>
      <c r="J20">
        <v>0.62580000000000002</v>
      </c>
      <c r="K20">
        <v>0.73155612224900435</v>
      </c>
      <c r="L20">
        <v>0.51910000000000001</v>
      </c>
      <c r="M20">
        <v>0.98527250239426634</v>
      </c>
      <c r="N20">
        <v>0.94274833115640033</v>
      </c>
      <c r="O20">
        <v>0.98568045574203955</v>
      </c>
      <c r="P20">
        <v>0.93854051470031441</v>
      </c>
      <c r="Q20">
        <v>0.98752585676311888</v>
      </c>
      <c r="R20">
        <v>0.95441086166607636</v>
      </c>
      <c r="S20">
        <v>0.98832005895950514</v>
      </c>
      <c r="T20">
        <v>0.9521904964210266</v>
      </c>
      <c r="U20">
        <v>0.99001039106743538</v>
      </c>
      <c r="V20">
        <v>1.320396500221422</v>
      </c>
      <c r="W20">
        <v>7.999999999999996E-2</v>
      </c>
      <c r="X20">
        <v>0.92</v>
      </c>
      <c r="Y20">
        <v>0.38922409386116619</v>
      </c>
      <c r="Z20">
        <v>3.3856331309989857E-2</v>
      </c>
      <c r="AA20">
        <v>8.7402885006192824E-2</v>
      </c>
      <c r="AB20">
        <v>2.0625232418063889E-2</v>
      </c>
      <c r="AC20">
        <v>0.38813796409425022</v>
      </c>
      <c r="AD20">
        <v>3.7162696748147143E-2</v>
      </c>
      <c r="AE20">
        <v>9.5323611142621736E-2</v>
      </c>
      <c r="AF20">
        <v>2.2598517702735341E-2</v>
      </c>
      <c r="AG20">
        <v>0.42269760286800923</v>
      </c>
      <c r="AH20">
        <v>2.6003023958181971E-2</v>
      </c>
      <c r="AI20">
        <v>8.4672673049723743E-2</v>
      </c>
      <c r="AJ20">
        <v>2.792820884896215E-2</v>
      </c>
      <c r="AK20">
        <v>0.42794809203504902</v>
      </c>
      <c r="AL20">
        <v>2.9091883123717362E-2</v>
      </c>
      <c r="AM20">
        <v>8.8729798471382196E-2</v>
      </c>
      <c r="AN20">
        <v>3.1693905913088093E-2</v>
      </c>
    </row>
    <row r="21" spans="1:40">
      <c r="A21">
        <v>120</v>
      </c>
      <c r="B21">
        <v>7.6764182546980866</v>
      </c>
      <c r="C21">
        <v>8.0939365556180647</v>
      </c>
      <c r="D21">
        <v>17.856377965640121</v>
      </c>
      <c r="E21">
        <v>2.4814217283372622</v>
      </c>
      <c r="F21">
        <v>2.5174833939272339</v>
      </c>
      <c r="G21">
        <v>4.2322421556212104</v>
      </c>
      <c r="H21">
        <v>0.49</v>
      </c>
      <c r="I21">
        <v>0.7279423054061358</v>
      </c>
      <c r="J21">
        <v>0.76729999999999998</v>
      </c>
      <c r="K21">
        <v>0.91178435498751564</v>
      </c>
      <c r="L21">
        <v>0.4798</v>
      </c>
      <c r="M21">
        <v>0.98255210244731772</v>
      </c>
      <c r="N21">
        <v>0.93236442185237134</v>
      </c>
      <c r="O21">
        <v>0.98532634832584276</v>
      </c>
      <c r="P21">
        <v>0.92738504187001458</v>
      </c>
      <c r="Q21">
        <v>0.98616431550060046</v>
      </c>
      <c r="R21">
        <v>0.94755818464314012</v>
      </c>
      <c r="S21">
        <v>0.98833669686868308</v>
      </c>
      <c r="T21">
        <v>0.94448085941037463</v>
      </c>
      <c r="U21">
        <v>0.98917476732406917</v>
      </c>
      <c r="V21">
        <v>1.587989595833958</v>
      </c>
      <c r="W21">
        <v>8.9999999999999969E-2</v>
      </c>
      <c r="X21">
        <v>0.91</v>
      </c>
      <c r="Y21">
        <v>0.38559671763656689</v>
      </c>
      <c r="Z21">
        <v>3.4545773180495322E-2</v>
      </c>
      <c r="AA21">
        <v>8.7560148409267374E-2</v>
      </c>
      <c r="AB21">
        <v>2.0360033761550989E-2</v>
      </c>
      <c r="AC21">
        <v>0.3847810044464875</v>
      </c>
      <c r="AD21">
        <v>3.6311342953993783E-2</v>
      </c>
      <c r="AE21">
        <v>0.1022173463454758</v>
      </c>
      <c r="AF21">
        <v>2.4581011688114839E-2</v>
      </c>
      <c r="AG21">
        <v>0.42581047168122188</v>
      </c>
      <c r="AH21">
        <v>3.1543291573527033E-2</v>
      </c>
      <c r="AI21">
        <v>8.7642722045858712E-2</v>
      </c>
      <c r="AJ21">
        <v>2.638214113498602E-2</v>
      </c>
      <c r="AK21">
        <v>0.42961005323258172</v>
      </c>
      <c r="AL21">
        <v>3.2033909660999622E-2</v>
      </c>
      <c r="AM21">
        <v>9.740996153881977E-2</v>
      </c>
      <c r="AN21">
        <v>3.3659473005268489E-2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1C32-DE58-4E45-AA20-BDC9548AD78A}">
  <dimension ref="A1:AN21"/>
  <sheetViews>
    <sheetView workbookViewId="0">
      <selection activeCell="E23" sqref="E23"/>
    </sheetView>
  </sheetViews>
  <sheetFormatPr defaultRowHeight="14.1"/>
  <cols>
    <col min="1" max="1" width="4.5" bestFit="1" customWidth="1"/>
    <col min="2" max="2" width="12.44921875" bestFit="1" customWidth="1"/>
    <col min="3" max="3" width="13.34765625" bestFit="1" customWidth="1"/>
    <col min="4" max="4" width="13.59765625" bestFit="1" customWidth="1"/>
    <col min="5" max="5" width="21.09765625" bestFit="1" customWidth="1"/>
    <col min="6" max="6" width="22.046875" bestFit="1" customWidth="1"/>
    <col min="7" max="7" width="22.25" bestFit="1" customWidth="1"/>
    <col min="8" max="8" width="31.44921875" bestFit="1" customWidth="1"/>
    <col min="9" max="9" width="29.19921875" bestFit="1" customWidth="1"/>
    <col min="10" max="10" width="26.84765625" bestFit="1" customWidth="1"/>
    <col min="11" max="11" width="24.59765625" bestFit="1" customWidth="1"/>
    <col min="12" max="12" width="40.6484375" bestFit="1" customWidth="1"/>
    <col min="13" max="13" width="34.046875" bestFit="1" customWidth="1"/>
    <col min="14" max="14" width="28.59765625" bestFit="1" customWidth="1"/>
    <col min="15" max="15" width="36.84765625" bestFit="1" customWidth="1"/>
    <col min="16" max="16" width="27.046875" bestFit="1" customWidth="1"/>
    <col min="17" max="17" width="35.296875" bestFit="1" customWidth="1"/>
    <col min="18" max="18" width="26.546875" bestFit="1" customWidth="1"/>
    <col min="19" max="19" width="34.796875" bestFit="1" customWidth="1"/>
    <col min="20" max="20" width="28.09765625" bestFit="1" customWidth="1"/>
    <col min="21" max="21" width="36.34765625" bestFit="1" customWidth="1"/>
    <col min="22" max="22" width="13.6484375" bestFit="1" customWidth="1"/>
    <col min="23" max="23" width="33.1484375" bestFit="1" customWidth="1"/>
    <col min="24" max="24" width="31.75" bestFit="1" customWidth="1"/>
    <col min="25" max="25" width="30.546875" bestFit="1" customWidth="1"/>
    <col min="26" max="26" width="28.296875" bestFit="1" customWidth="1"/>
    <col min="27" max="27" width="31.1484375" bestFit="1" customWidth="1"/>
    <col min="28" max="28" width="28.8984375" bestFit="1" customWidth="1"/>
    <col min="29" max="29" width="29" bestFit="1" customWidth="1"/>
    <col min="30" max="30" width="26.75" bestFit="1" customWidth="1"/>
    <col min="31" max="31" width="29.59765625" bestFit="1" customWidth="1"/>
    <col min="32" max="32" width="27.34765625" bestFit="1" customWidth="1"/>
    <col min="33" max="33" width="28.5" bestFit="1" customWidth="1"/>
    <col min="34" max="34" width="26.25" bestFit="1" customWidth="1"/>
    <col min="35" max="35" width="29.1484375" bestFit="1" customWidth="1"/>
    <col min="36" max="36" width="26.8984375" bestFit="1" customWidth="1"/>
    <col min="37" max="37" width="30" bestFit="1" customWidth="1"/>
    <col min="38" max="38" width="27.796875" bestFit="1" customWidth="1"/>
    <col min="39" max="39" width="30.6484375" bestFit="1" customWidth="1"/>
    <col min="40" max="40" width="28.3984375" bestFit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6</v>
      </c>
      <c r="B2">
        <v>0.3085</v>
      </c>
      <c r="C2">
        <v>0.4008072665149312</v>
      </c>
      <c r="D2">
        <v>14.14722222222222</v>
      </c>
      <c r="E2">
        <v>0.3792206554969752</v>
      </c>
      <c r="F2">
        <v>0.48599060530236832</v>
      </c>
      <c r="G2">
        <v>17.27836972012074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0.93228571428571427</v>
      </c>
      <c r="O2">
        <v>1</v>
      </c>
      <c r="P2">
        <v>0.92966666666666675</v>
      </c>
      <c r="Q2">
        <v>1</v>
      </c>
      <c r="R2">
        <v>0.93228571428571427</v>
      </c>
      <c r="S2">
        <v>1</v>
      </c>
      <c r="T2">
        <v>0.92966666666666675</v>
      </c>
      <c r="U2">
        <v>1</v>
      </c>
      <c r="V2">
        <v>0</v>
      </c>
      <c r="W2">
        <v>1</v>
      </c>
      <c r="X2">
        <v>0</v>
      </c>
      <c r="Y2">
        <v>0.3768051840033031</v>
      </c>
      <c r="Z2">
        <v>9.558671341810844E-2</v>
      </c>
      <c r="AA2">
        <v>0.17438435931611371</v>
      </c>
      <c r="AB2">
        <v>0.15718829290483749</v>
      </c>
      <c r="AC2">
        <v>0.37456875876187778</v>
      </c>
      <c r="AD2">
        <v>0.1063995934461702</v>
      </c>
      <c r="AE2">
        <v>0.17993495597553791</v>
      </c>
      <c r="AF2">
        <v>0.1583504995412896</v>
      </c>
      <c r="AG2">
        <v>0.38262575759637668</v>
      </c>
      <c r="AH2">
        <v>9.4440651106359089E-2</v>
      </c>
      <c r="AI2">
        <v>0.1637494767455264</v>
      </c>
      <c r="AJ2">
        <v>0.16101849863177919</v>
      </c>
      <c r="AK2">
        <v>0.38038933235495143</v>
      </c>
      <c r="AL2">
        <v>0.1054946673544877</v>
      </c>
      <c r="AM2">
        <v>0.1623540042735043</v>
      </c>
      <c r="AN2">
        <v>0.16310519271560431</v>
      </c>
    </row>
    <row r="3" spans="1:40">
      <c r="A3">
        <v>12</v>
      </c>
      <c r="B3">
        <v>0.62129315129315121</v>
      </c>
      <c r="C3">
        <v>0.78084146321646675</v>
      </c>
      <c r="D3">
        <v>14.18197774447775</v>
      </c>
      <c r="E3">
        <v>0.56216304849894105</v>
      </c>
      <c r="F3">
        <v>0.69131017925756177</v>
      </c>
      <c r="G3">
        <v>12.48702304953658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0.88433080808080811</v>
      </c>
      <c r="O3">
        <v>1</v>
      </c>
      <c r="P3">
        <v>0.87402777777777796</v>
      </c>
      <c r="Q3">
        <v>1</v>
      </c>
      <c r="R3">
        <v>0.8926515151515152</v>
      </c>
      <c r="S3">
        <v>1</v>
      </c>
      <c r="T3">
        <v>0.88323232323232315</v>
      </c>
      <c r="U3">
        <v>1</v>
      </c>
      <c r="V3">
        <v>0</v>
      </c>
      <c r="W3">
        <v>1</v>
      </c>
      <c r="X3">
        <v>0</v>
      </c>
      <c r="Y3">
        <v>0.34729996229835047</v>
      </c>
      <c r="Z3">
        <v>4.8388249583719498E-2</v>
      </c>
      <c r="AA3">
        <v>0.12943645974401691</v>
      </c>
      <c r="AB3">
        <v>2.445821105257041E-2</v>
      </c>
      <c r="AC3">
        <v>0.34278295518922219</v>
      </c>
      <c r="AD3">
        <v>4.7112640062319792E-2</v>
      </c>
      <c r="AE3">
        <v>0.15163753225400919</v>
      </c>
      <c r="AF3">
        <v>1.9801905648587751E-2</v>
      </c>
      <c r="AG3">
        <v>0.36291615230388252</v>
      </c>
      <c r="AH3">
        <v>4.6043627012497729E-2</v>
      </c>
      <c r="AI3">
        <v>0.11116740651886629</v>
      </c>
      <c r="AJ3">
        <v>3.0767467998357941E-2</v>
      </c>
      <c r="AK3">
        <v>0.35966732864388479</v>
      </c>
      <c r="AL3">
        <v>4.5965383075037357E-2</v>
      </c>
      <c r="AM3">
        <v>0.12097023364485569</v>
      </c>
      <c r="AN3">
        <v>2.507853335038714E-2</v>
      </c>
    </row>
    <row r="4" spans="1:40">
      <c r="A4">
        <v>18</v>
      </c>
      <c r="B4">
        <v>0.94238849299994809</v>
      </c>
      <c r="C4">
        <v>1.154218780997748</v>
      </c>
      <c r="D4">
        <v>14.68362197010444</v>
      </c>
      <c r="E4">
        <v>0.77749755600636727</v>
      </c>
      <c r="F4">
        <v>0.92404375696250829</v>
      </c>
      <c r="G4">
        <v>11.380001257203549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0.87206526969762288</v>
      </c>
      <c r="O4">
        <v>1</v>
      </c>
      <c r="P4">
        <v>0.86370695970695999</v>
      </c>
      <c r="Q4">
        <v>1</v>
      </c>
      <c r="R4">
        <v>0.8883100822466149</v>
      </c>
      <c r="S4">
        <v>1</v>
      </c>
      <c r="T4">
        <v>0.88089593413122835</v>
      </c>
      <c r="U4">
        <v>1</v>
      </c>
      <c r="V4">
        <v>0</v>
      </c>
      <c r="W4">
        <v>1</v>
      </c>
      <c r="X4">
        <v>0</v>
      </c>
      <c r="Y4">
        <v>0.35926084433822097</v>
      </c>
      <c r="Z4">
        <v>3.4603415452715038E-2</v>
      </c>
      <c r="AA4">
        <v>0.1424498470885974</v>
      </c>
      <c r="AB4">
        <v>2.6813110914294312E-2</v>
      </c>
      <c r="AC4">
        <v>0.35450353501808091</v>
      </c>
      <c r="AD4">
        <v>3.1339607164662053E-2</v>
      </c>
      <c r="AE4">
        <v>0.1719796394411654</v>
      </c>
      <c r="AF4">
        <v>2.1949381955430749E-2</v>
      </c>
      <c r="AG4">
        <v>0.38147183321962669</v>
      </c>
      <c r="AH4">
        <v>4.2180550080321032E-2</v>
      </c>
      <c r="AI4">
        <v>0.1321044665451156</v>
      </c>
      <c r="AJ4">
        <v>4.0349551857688612E-2</v>
      </c>
      <c r="AK4">
        <v>0.37821380128419929</v>
      </c>
      <c r="AL4">
        <v>4.1410577792794653E-2</v>
      </c>
      <c r="AM4">
        <v>0.15062798445197589</v>
      </c>
      <c r="AN4">
        <v>4.5185921964655013E-2</v>
      </c>
    </row>
    <row r="5" spans="1:40">
      <c r="A5">
        <v>24</v>
      </c>
      <c r="B5">
        <v>1.319743094369187</v>
      </c>
      <c r="C5">
        <v>1.599201734959838</v>
      </c>
      <c r="D5">
        <v>15.447996819562791</v>
      </c>
      <c r="E5">
        <v>0.83354078661012898</v>
      </c>
      <c r="F5">
        <v>0.9863768238196724</v>
      </c>
      <c r="G5">
        <v>9.4494616865749261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0.8770380156733234</v>
      </c>
      <c r="O5">
        <v>1</v>
      </c>
      <c r="P5">
        <v>0.86682884599061072</v>
      </c>
      <c r="Q5">
        <v>1</v>
      </c>
      <c r="R5">
        <v>0.88903038027391923</v>
      </c>
      <c r="S5">
        <v>1</v>
      </c>
      <c r="T5">
        <v>0.87977123528421142</v>
      </c>
      <c r="U5">
        <v>1</v>
      </c>
      <c r="V5">
        <v>0</v>
      </c>
      <c r="W5">
        <v>1</v>
      </c>
      <c r="X5">
        <v>0</v>
      </c>
      <c r="Y5">
        <v>0.36133168080374978</v>
      </c>
      <c r="Z5">
        <v>3.3052654563268932E-2</v>
      </c>
      <c r="AA5">
        <v>0.14013850428502519</v>
      </c>
      <c r="AB5">
        <v>2.8869746343164089E-2</v>
      </c>
      <c r="AC5">
        <v>0.35582606521852639</v>
      </c>
      <c r="AD5">
        <v>3.0221707550072439E-2</v>
      </c>
      <c r="AE5">
        <v>0.16517317747051061</v>
      </c>
      <c r="AF5">
        <v>2.3769055340378108E-2</v>
      </c>
      <c r="AG5">
        <v>0.37931078386107708</v>
      </c>
      <c r="AH5">
        <v>3.5138854010945797E-2</v>
      </c>
      <c r="AI5">
        <v>0.1245152057715721</v>
      </c>
      <c r="AJ5">
        <v>3.5698920373626167E-2</v>
      </c>
      <c r="AK5">
        <v>0.37541399040725182</v>
      </c>
      <c r="AL5">
        <v>3.3965055659613101E-2</v>
      </c>
      <c r="AM5">
        <v>0.1377345942118402</v>
      </c>
      <c r="AN5">
        <v>3.3503368125400418E-2</v>
      </c>
    </row>
    <row r="6" spans="1:40">
      <c r="A6">
        <v>30</v>
      </c>
      <c r="B6">
        <v>1.6394140082654169</v>
      </c>
      <c r="C6">
        <v>1.9516946389262531</v>
      </c>
      <c r="D6">
        <v>15.73598425988585</v>
      </c>
      <c r="E6">
        <v>0.88452879883200997</v>
      </c>
      <c r="F6">
        <v>1.006364648400121</v>
      </c>
      <c r="G6">
        <v>8.0053039381137925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0.878469426035697</v>
      </c>
      <c r="O6">
        <v>1</v>
      </c>
      <c r="P6">
        <v>0.86828815156615669</v>
      </c>
      <c r="Q6">
        <v>1</v>
      </c>
      <c r="R6">
        <v>0.89481815352166627</v>
      </c>
      <c r="S6">
        <v>1</v>
      </c>
      <c r="T6">
        <v>0.88636392220815063</v>
      </c>
      <c r="U6">
        <v>1</v>
      </c>
      <c r="V6">
        <v>0</v>
      </c>
      <c r="W6">
        <v>1</v>
      </c>
      <c r="X6">
        <v>0</v>
      </c>
      <c r="Y6">
        <v>0.35913889914754121</v>
      </c>
      <c r="Z6">
        <v>2.90076126547343E-2</v>
      </c>
      <c r="AA6">
        <v>0.14051969525395361</v>
      </c>
      <c r="AB6">
        <v>2.3128279882795869E-2</v>
      </c>
      <c r="AC6">
        <v>0.35350034597676011</v>
      </c>
      <c r="AD6">
        <v>2.6642322819954479E-2</v>
      </c>
      <c r="AE6">
        <v>0.1663849179274739</v>
      </c>
      <c r="AF6">
        <v>2.4284306973033552E-2</v>
      </c>
      <c r="AG6">
        <v>0.38557242390366198</v>
      </c>
      <c r="AH6">
        <v>3.228245536187261E-2</v>
      </c>
      <c r="AI6">
        <v>0.12861124886841371</v>
      </c>
      <c r="AJ6">
        <v>2.853381597744226E-2</v>
      </c>
      <c r="AK6">
        <v>0.38251934116729153</v>
      </c>
      <c r="AL6">
        <v>3.344158529457851E-2</v>
      </c>
      <c r="AM6">
        <v>0.14404918828507121</v>
      </c>
      <c r="AN6">
        <v>3.1937546520868207E-2</v>
      </c>
    </row>
    <row r="7" spans="1:40">
      <c r="A7">
        <v>36</v>
      </c>
      <c r="B7">
        <v>2.3169566946011688</v>
      </c>
      <c r="C7">
        <v>2.646016177533637</v>
      </c>
      <c r="D7">
        <v>18.028704042163859</v>
      </c>
      <c r="E7">
        <v>0.97558931642713087</v>
      </c>
      <c r="F7">
        <v>1.0630668459913819</v>
      </c>
      <c r="G7">
        <v>6.8604480136976393</v>
      </c>
      <c r="H7">
        <v>0.01</v>
      </c>
      <c r="I7">
        <v>9.9498743710661988E-2</v>
      </c>
      <c r="J7">
        <v>0.01</v>
      </c>
      <c r="K7">
        <v>9.9498743710661988E-2</v>
      </c>
      <c r="L7">
        <v>0.99</v>
      </c>
      <c r="M7">
        <v>0.99933333333333341</v>
      </c>
      <c r="N7">
        <v>0.8727703999967209</v>
      </c>
      <c r="O7">
        <v>0.99965517241379309</v>
      </c>
      <c r="P7">
        <v>0.86518277713857628</v>
      </c>
      <c r="Q7">
        <v>0.99962962962962953</v>
      </c>
      <c r="R7">
        <v>0.88749286764945468</v>
      </c>
      <c r="S7">
        <v>0.99965517241379309</v>
      </c>
      <c r="T7">
        <v>0.88115132270022345</v>
      </c>
      <c r="U7">
        <v>0.99962962962962953</v>
      </c>
      <c r="V7">
        <v>1.6245106027175538E-2</v>
      </c>
      <c r="W7">
        <v>0.98</v>
      </c>
      <c r="X7">
        <v>0.02</v>
      </c>
      <c r="Y7">
        <v>0.35625887655087918</v>
      </c>
      <c r="Z7">
        <v>2.3525924729721471E-2</v>
      </c>
      <c r="AA7">
        <v>0.1360747916568554</v>
      </c>
      <c r="AB7">
        <v>2.056862188509001E-2</v>
      </c>
      <c r="AC7">
        <v>0.35213522494986549</v>
      </c>
      <c r="AD7">
        <v>2.2109764270476839E-2</v>
      </c>
      <c r="AE7">
        <v>0.1672895367939097</v>
      </c>
      <c r="AF7">
        <v>2.0995709919360488E-2</v>
      </c>
      <c r="AG7">
        <v>0.37977020551071461</v>
      </c>
      <c r="AH7">
        <v>2.7908318815136009E-2</v>
      </c>
      <c r="AI7">
        <v>0.1204621912593879</v>
      </c>
      <c r="AJ7">
        <v>2.9911214701886679E-2</v>
      </c>
      <c r="AK7">
        <v>0.37754939847651081</v>
      </c>
      <c r="AL7">
        <v>2.87011155849589E-2</v>
      </c>
      <c r="AM7">
        <v>0.13875238922414829</v>
      </c>
      <c r="AN7">
        <v>3.3863949858553309E-2</v>
      </c>
    </row>
    <row r="8" spans="1:40">
      <c r="A8">
        <v>42</v>
      </c>
      <c r="B8">
        <v>2.6054956804013178</v>
      </c>
      <c r="C8">
        <v>2.9838235082973639</v>
      </c>
      <c r="D8">
        <v>17.76457733909351</v>
      </c>
      <c r="E8">
        <v>0.99919263454167551</v>
      </c>
      <c r="F8">
        <v>1.0870506751942439</v>
      </c>
      <c r="G8">
        <v>5.9204134813930596</v>
      </c>
      <c r="H8">
        <v>0</v>
      </c>
      <c r="I8">
        <v>0</v>
      </c>
      <c r="J8">
        <v>4.3E-3</v>
      </c>
      <c r="K8">
        <v>6.543324842921984E-2</v>
      </c>
      <c r="L8">
        <v>0.99570000000000003</v>
      </c>
      <c r="M8">
        <v>0.99969285714285727</v>
      </c>
      <c r="N8">
        <v>0.87760934604844332</v>
      </c>
      <c r="O8">
        <v>0.9997225806451614</v>
      </c>
      <c r="P8">
        <v>0.86796655408216716</v>
      </c>
      <c r="Q8">
        <v>0.999851724137931</v>
      </c>
      <c r="R8">
        <v>0.89524191075923987</v>
      </c>
      <c r="S8">
        <v>0.99978500000000003</v>
      </c>
      <c r="T8">
        <v>0.88745640630552713</v>
      </c>
      <c r="U8">
        <v>0.99988684210526313</v>
      </c>
      <c r="V8">
        <v>4.9686265980923752E-2</v>
      </c>
      <c r="W8">
        <v>0.92999999999999994</v>
      </c>
      <c r="X8">
        <v>7.0000000000000007E-2</v>
      </c>
      <c r="Y8">
        <v>0.36131782055929562</v>
      </c>
      <c r="Z8">
        <v>2.2348683354093991E-2</v>
      </c>
      <c r="AA8">
        <v>0.13862383734549949</v>
      </c>
      <c r="AB8">
        <v>2.5782116486567301E-2</v>
      </c>
      <c r="AC8">
        <v>0.35617815702188832</v>
      </c>
      <c r="AD8">
        <v>1.914724637599273E-2</v>
      </c>
      <c r="AE8">
        <v>0.16537945813953819</v>
      </c>
      <c r="AF8">
        <v>2.2446822689665909E-2</v>
      </c>
      <c r="AG8">
        <v>0.3881404210975159</v>
      </c>
      <c r="AH8">
        <v>2.4809631091615481E-2</v>
      </c>
      <c r="AI8">
        <v>0.12847513443000069</v>
      </c>
      <c r="AJ8">
        <v>3.4859819469807603E-2</v>
      </c>
      <c r="AK8">
        <v>0.385585894692553</v>
      </c>
      <c r="AL8">
        <v>2.56608436661795E-2</v>
      </c>
      <c r="AM8">
        <v>0.1449944364713332</v>
      </c>
      <c r="AN8">
        <v>3.656201267259019E-2</v>
      </c>
    </row>
    <row r="9" spans="1:40">
      <c r="A9">
        <v>48</v>
      </c>
      <c r="B9">
        <v>3.1064717099573289</v>
      </c>
      <c r="C9">
        <v>3.4865103596159028</v>
      </c>
      <c r="D9">
        <v>18.47549358021028</v>
      </c>
      <c r="E9">
        <v>1.0390125770916201</v>
      </c>
      <c r="F9">
        <v>1.0933569383182331</v>
      </c>
      <c r="G9">
        <v>5.3237513673400878</v>
      </c>
      <c r="H9">
        <v>0.04</v>
      </c>
      <c r="I9">
        <v>0.19595917942265431</v>
      </c>
      <c r="J9">
        <v>5.3999999999999999E-2</v>
      </c>
      <c r="K9">
        <v>0.23808401878328581</v>
      </c>
      <c r="L9">
        <v>0.94879999999999998</v>
      </c>
      <c r="M9">
        <v>0.99701176470588238</v>
      </c>
      <c r="N9">
        <v>0.87655208836116649</v>
      </c>
      <c r="O9">
        <v>0.99824653072153069</v>
      </c>
      <c r="P9">
        <v>0.86712295888036095</v>
      </c>
      <c r="Q9">
        <v>0.99834799064787205</v>
      </c>
      <c r="R9">
        <v>0.89406678119255123</v>
      </c>
      <c r="S9">
        <v>0.99843419863835003</v>
      </c>
      <c r="T9">
        <v>0.8870170708727283</v>
      </c>
      <c r="U9">
        <v>0.99854753811483721</v>
      </c>
      <c r="V9">
        <v>0.1756069382145122</v>
      </c>
      <c r="W9">
        <v>0.81</v>
      </c>
      <c r="X9">
        <v>0.19</v>
      </c>
      <c r="Y9">
        <v>0.35856205188173429</v>
      </c>
      <c r="Z9">
        <v>2.5655198942693639E-2</v>
      </c>
      <c r="AA9">
        <v>0.13780138706344869</v>
      </c>
      <c r="AB9">
        <v>2.441641283141727E-2</v>
      </c>
      <c r="AC9">
        <v>0.35359607551739652</v>
      </c>
      <c r="AD9">
        <v>2.3013343897072502E-2</v>
      </c>
      <c r="AE9">
        <v>0.16472360814409129</v>
      </c>
      <c r="AF9">
        <v>2.1730410970235151E-2</v>
      </c>
      <c r="AG9">
        <v>0.38631915073450368</v>
      </c>
      <c r="AH9">
        <v>3.0309016704801121E-2</v>
      </c>
      <c r="AI9">
        <v>0.12694882923768899</v>
      </c>
      <c r="AJ9">
        <v>3.0203868127038739E-2</v>
      </c>
      <c r="AK9">
        <v>0.38478162451044301</v>
      </c>
      <c r="AL9">
        <v>3.026776387807327E-2</v>
      </c>
      <c r="AM9">
        <v>0.14363188657867981</v>
      </c>
      <c r="AN9">
        <v>3.0427747478088879E-2</v>
      </c>
    </row>
    <row r="10" spans="1:40">
      <c r="A10">
        <v>54</v>
      </c>
      <c r="B10">
        <v>3.4859286599600519</v>
      </c>
      <c r="C10">
        <v>3.8472055612173892</v>
      </c>
      <c r="D10">
        <v>18.28000830774743</v>
      </c>
      <c r="E10">
        <v>1.238689076662252</v>
      </c>
      <c r="F10">
        <v>1.311516408714432</v>
      </c>
      <c r="G10">
        <v>5.8564006281707712</v>
      </c>
      <c r="H10">
        <v>0.23</v>
      </c>
      <c r="I10">
        <v>0.50705029336348884</v>
      </c>
      <c r="J10">
        <v>0.27560000000000001</v>
      </c>
      <c r="K10">
        <v>0.58124404513078665</v>
      </c>
      <c r="L10">
        <v>0.78569999999999995</v>
      </c>
      <c r="M10">
        <v>0.98636681905686496</v>
      </c>
      <c r="N10">
        <v>0.86950359049246218</v>
      </c>
      <c r="O10">
        <v>0.99194215764245131</v>
      </c>
      <c r="P10">
        <v>0.86115560188980489</v>
      </c>
      <c r="Q10">
        <v>0.99267450729185258</v>
      </c>
      <c r="R10">
        <v>0.8849081486522502</v>
      </c>
      <c r="S10">
        <v>0.99261279327633878</v>
      </c>
      <c r="T10">
        <v>0.87816194812264747</v>
      </c>
      <c r="U10">
        <v>0.99330680615507716</v>
      </c>
      <c r="V10">
        <v>0.34494016861719301</v>
      </c>
      <c r="W10">
        <v>0.66999999999999993</v>
      </c>
      <c r="X10">
        <v>0.33</v>
      </c>
      <c r="Y10">
        <v>0.35909764428007879</v>
      </c>
      <c r="Z10">
        <v>2.3207615493999811E-2</v>
      </c>
      <c r="AA10">
        <v>0.1376051040694776</v>
      </c>
      <c r="AB10">
        <v>2.003170834654671E-2</v>
      </c>
      <c r="AC10">
        <v>0.35528078266882368</v>
      </c>
      <c r="AD10">
        <v>2.020933428580686E-2</v>
      </c>
      <c r="AE10">
        <v>0.1650826524955358</v>
      </c>
      <c r="AF10">
        <v>2.2967001720355939E-2</v>
      </c>
      <c r="AG10">
        <v>0.38511095303060272</v>
      </c>
      <c r="AH10">
        <v>2.5132854498011191E-2</v>
      </c>
      <c r="AI10">
        <v>0.1244276761258654</v>
      </c>
      <c r="AJ10">
        <v>2.701148066246031E-2</v>
      </c>
      <c r="AK10">
        <v>0.38368647746326717</v>
      </c>
      <c r="AL10">
        <v>2.550596693874917E-2</v>
      </c>
      <c r="AM10">
        <v>0.1407388189179781</v>
      </c>
      <c r="AN10">
        <v>3.1247877936935491E-2</v>
      </c>
    </row>
    <row r="11" spans="1:40">
      <c r="A11">
        <v>60</v>
      </c>
      <c r="B11">
        <v>3.999467913146447</v>
      </c>
      <c r="C11">
        <v>4.3874094826588337</v>
      </c>
      <c r="D11">
        <v>18.983746831407402</v>
      </c>
      <c r="E11">
        <v>1.1316228791256659</v>
      </c>
      <c r="F11">
        <v>1.164546627917044</v>
      </c>
      <c r="G11">
        <v>4.4173338944586709</v>
      </c>
      <c r="H11">
        <v>0.18</v>
      </c>
      <c r="I11">
        <v>0.43312815655415432</v>
      </c>
      <c r="J11">
        <v>0.23130000000000001</v>
      </c>
      <c r="K11">
        <v>0.47707474257185323</v>
      </c>
      <c r="L11">
        <v>0.79359999999999997</v>
      </c>
      <c r="M11">
        <v>0.98960403199470259</v>
      </c>
      <c r="N11">
        <v>0.8717232972894744</v>
      </c>
      <c r="O11">
        <v>0.99373296575265013</v>
      </c>
      <c r="P11">
        <v>0.86351874273335993</v>
      </c>
      <c r="Q11">
        <v>0.99444212043371027</v>
      </c>
      <c r="R11">
        <v>0.89023580168039607</v>
      </c>
      <c r="S11">
        <v>0.99436005503581926</v>
      </c>
      <c r="T11">
        <v>0.88376739540805815</v>
      </c>
      <c r="U11">
        <v>0.99501393392396154</v>
      </c>
      <c r="V11">
        <v>0.46265113571882688</v>
      </c>
      <c r="W11">
        <v>0.52</v>
      </c>
      <c r="X11">
        <v>0.48</v>
      </c>
      <c r="Y11">
        <v>0.36062154004994862</v>
      </c>
      <c r="Z11">
        <v>2.2495081917809939E-2</v>
      </c>
      <c r="AA11">
        <v>0.1364696825696326</v>
      </c>
      <c r="AB11">
        <v>2.511992478636001E-2</v>
      </c>
      <c r="AC11">
        <v>0.35557260490822928</v>
      </c>
      <c r="AD11">
        <v>2.013855052642019E-2</v>
      </c>
      <c r="AE11">
        <v>0.1640175039313865</v>
      </c>
      <c r="AF11">
        <v>2.497236747583265E-2</v>
      </c>
      <c r="AG11">
        <v>0.39084313283316269</v>
      </c>
      <c r="AH11">
        <v>2.3920877919431909E-2</v>
      </c>
      <c r="AI11">
        <v>0.12641064880907549</v>
      </c>
      <c r="AJ11">
        <v>3.115121430032149E-2</v>
      </c>
      <c r="AK11">
        <v>0.38881054756991013</v>
      </c>
      <c r="AL11">
        <v>2.4225629560120299E-2</v>
      </c>
      <c r="AM11">
        <v>0.1437233192855579</v>
      </c>
      <c r="AN11">
        <v>3.4899156747864729E-2</v>
      </c>
    </row>
    <row r="12" spans="1:40">
      <c r="A12">
        <v>66</v>
      </c>
      <c r="B12">
        <v>4.3889418136556992</v>
      </c>
      <c r="C12">
        <v>4.7781918600395858</v>
      </c>
      <c r="D12">
        <v>18.947038238563501</v>
      </c>
      <c r="E12">
        <v>1.26828964026711</v>
      </c>
      <c r="F12">
        <v>1.2994726361071229</v>
      </c>
      <c r="G12">
        <v>4.7830241609081048</v>
      </c>
      <c r="H12">
        <v>0.35</v>
      </c>
      <c r="I12">
        <v>0.6224949798994367</v>
      </c>
      <c r="J12">
        <v>0.45579999999999998</v>
      </c>
      <c r="K12">
        <v>0.73146863227345571</v>
      </c>
      <c r="L12">
        <v>0.66410000000000002</v>
      </c>
      <c r="M12">
        <v>0.98060391463373109</v>
      </c>
      <c r="N12">
        <v>0.86824177960318416</v>
      </c>
      <c r="O12">
        <v>0.98906164041317168</v>
      </c>
      <c r="P12">
        <v>0.8588975295660819</v>
      </c>
      <c r="Q12">
        <v>0.98948314978673391</v>
      </c>
      <c r="R12">
        <v>0.88582579785773796</v>
      </c>
      <c r="S12">
        <v>0.99005267214326742</v>
      </c>
      <c r="T12">
        <v>0.87847939045590973</v>
      </c>
      <c r="U12">
        <v>0.99048547725735847</v>
      </c>
      <c r="V12">
        <v>0.66755371030966304</v>
      </c>
      <c r="W12">
        <v>0.39</v>
      </c>
      <c r="X12">
        <v>0.61</v>
      </c>
      <c r="Y12">
        <v>0.36195510891724381</v>
      </c>
      <c r="Z12">
        <v>2.0626594962993981E-2</v>
      </c>
      <c r="AA12">
        <v>0.1374305856435919</v>
      </c>
      <c r="AB12">
        <v>2.2024673612981362E-2</v>
      </c>
      <c r="AC12">
        <v>0.35657006152388449</v>
      </c>
      <c r="AD12">
        <v>1.8368305704535921E-2</v>
      </c>
      <c r="AE12">
        <v>0.16521920757932429</v>
      </c>
      <c r="AF12">
        <v>2.231882398631518E-2</v>
      </c>
      <c r="AG12">
        <v>0.39206985656624932</v>
      </c>
      <c r="AH12">
        <v>2.455329247776317E-2</v>
      </c>
      <c r="AI12">
        <v>0.12817685984972441</v>
      </c>
      <c r="AJ12">
        <v>3.0010383021919929E-2</v>
      </c>
      <c r="AK12">
        <v>0.38978308447551391</v>
      </c>
      <c r="AL12">
        <v>2.5335494100768789E-2</v>
      </c>
      <c r="AM12">
        <v>0.14597180893798839</v>
      </c>
      <c r="AN12">
        <v>3.4353403240262557E-2</v>
      </c>
    </row>
    <row r="13" spans="1:40">
      <c r="A13">
        <v>72</v>
      </c>
      <c r="B13">
        <v>5.0541741193088772</v>
      </c>
      <c r="C13">
        <v>5.4537793322841637</v>
      </c>
      <c r="D13">
        <v>19.987514039065491</v>
      </c>
      <c r="E13">
        <v>1.299514490420641</v>
      </c>
      <c r="F13">
        <v>1.329804191594528</v>
      </c>
      <c r="G13">
        <v>3.9483421238302139</v>
      </c>
      <c r="H13">
        <v>0.28000000000000003</v>
      </c>
      <c r="I13">
        <v>0.53065996645686386</v>
      </c>
      <c r="J13">
        <v>0.36049999999999999</v>
      </c>
      <c r="K13">
        <v>0.61313925824399784</v>
      </c>
      <c r="L13">
        <v>0.70450000000000002</v>
      </c>
      <c r="M13">
        <v>0.98594820639832725</v>
      </c>
      <c r="N13">
        <v>0.86808386672591675</v>
      </c>
      <c r="O13">
        <v>0.99185340256265264</v>
      </c>
      <c r="P13">
        <v>0.8596337366524176</v>
      </c>
      <c r="Q13">
        <v>0.99266754189607542</v>
      </c>
      <c r="R13">
        <v>0.8849528898460296</v>
      </c>
      <c r="S13">
        <v>0.99237756732101168</v>
      </c>
      <c r="T13">
        <v>0.87850557124125006</v>
      </c>
      <c r="U13">
        <v>0.99322147292155094</v>
      </c>
      <c r="V13">
        <v>0.78759339114567894</v>
      </c>
      <c r="W13">
        <v>0.42</v>
      </c>
      <c r="X13">
        <v>0.57999999999999996</v>
      </c>
      <c r="Y13">
        <v>0.35797229311689699</v>
      </c>
      <c r="Z13">
        <v>2.1790114130121069E-2</v>
      </c>
      <c r="AA13">
        <v>0.13669189832492379</v>
      </c>
      <c r="AB13">
        <v>2.2512536149687741E-2</v>
      </c>
      <c r="AC13">
        <v>0.35441798050216949</v>
      </c>
      <c r="AD13">
        <v>1.9963844077319701E-2</v>
      </c>
      <c r="AE13">
        <v>0.16506568081018419</v>
      </c>
      <c r="AF13">
        <v>2.407948378533736E-2</v>
      </c>
      <c r="AG13">
        <v>0.38916336532905471</v>
      </c>
      <c r="AH13">
        <v>2.34033765736411E-2</v>
      </c>
      <c r="AI13">
        <v>0.12667721600283849</v>
      </c>
      <c r="AJ13">
        <v>3.0303756829445559E-2</v>
      </c>
      <c r="AK13">
        <v>0.38885856021780868</v>
      </c>
      <c r="AL13">
        <v>2.313077327330745E-2</v>
      </c>
      <c r="AM13">
        <v>0.14469762410261691</v>
      </c>
      <c r="AN13">
        <v>3.4935529715434441E-2</v>
      </c>
    </row>
    <row r="14" spans="1:40">
      <c r="A14">
        <v>78</v>
      </c>
      <c r="B14">
        <v>5.2839553021706207</v>
      </c>
      <c r="C14">
        <v>5.6875074861082053</v>
      </c>
      <c r="D14">
        <v>19.19482968538313</v>
      </c>
      <c r="E14">
        <v>1.5406367164966279</v>
      </c>
      <c r="F14">
        <v>1.574214680880649</v>
      </c>
      <c r="G14">
        <v>4.6707738710583326</v>
      </c>
      <c r="H14">
        <v>0.37</v>
      </c>
      <c r="I14">
        <v>0.65810333535091592</v>
      </c>
      <c r="J14">
        <v>0.46060000000000001</v>
      </c>
      <c r="K14">
        <v>0.69846090799700444</v>
      </c>
      <c r="L14">
        <v>0.6391</v>
      </c>
      <c r="M14">
        <v>0.98341358388328193</v>
      </c>
      <c r="N14">
        <v>0.86996876292557823</v>
      </c>
      <c r="O14">
        <v>0.99001688341080629</v>
      </c>
      <c r="P14">
        <v>0.86033180036720913</v>
      </c>
      <c r="Q14">
        <v>0.99061271245586069</v>
      </c>
      <c r="R14">
        <v>0.88699254984541809</v>
      </c>
      <c r="S14">
        <v>0.99116493379958448</v>
      </c>
      <c r="T14">
        <v>0.87931954043865224</v>
      </c>
      <c r="U14">
        <v>0.99173311872472536</v>
      </c>
      <c r="V14">
        <v>0.93635894277382903</v>
      </c>
      <c r="W14">
        <v>0.28999999999999998</v>
      </c>
      <c r="X14">
        <v>0.71</v>
      </c>
      <c r="Y14">
        <v>0.36175976327802822</v>
      </c>
      <c r="Z14">
        <v>1.9644180839786831E-2</v>
      </c>
      <c r="AA14">
        <v>0.1410467787196884</v>
      </c>
      <c r="AB14">
        <v>2.2934284844337662E-2</v>
      </c>
      <c r="AC14">
        <v>0.35596417312238721</v>
      </c>
      <c r="AD14">
        <v>1.7002302093124901E-2</v>
      </c>
      <c r="AE14">
        <v>0.16667714731180541</v>
      </c>
      <c r="AF14">
        <v>2.3585410210671499E-2</v>
      </c>
      <c r="AG14">
        <v>0.38863045481272412</v>
      </c>
      <c r="AH14">
        <v>2.210487884458015E-2</v>
      </c>
      <c r="AI14">
        <v>0.13111804682338191</v>
      </c>
      <c r="AJ14">
        <v>2.9473427164017591E-2</v>
      </c>
      <c r="AK14">
        <v>0.38600038033056339</v>
      </c>
      <c r="AL14">
        <v>2.2943242355983311E-2</v>
      </c>
      <c r="AM14">
        <v>0.147174499650331</v>
      </c>
      <c r="AN14">
        <v>3.297444062412596E-2</v>
      </c>
    </row>
    <row r="15" spans="1:40">
      <c r="A15">
        <v>84</v>
      </c>
      <c r="B15">
        <v>5.5182381245667784</v>
      </c>
      <c r="C15">
        <v>5.9082515788719911</v>
      </c>
      <c r="D15">
        <v>18.723585643966501</v>
      </c>
      <c r="E15">
        <v>1.554133165598899</v>
      </c>
      <c r="F15">
        <v>1.6021701054874919</v>
      </c>
      <c r="G15">
        <v>4.568083421566917</v>
      </c>
      <c r="H15">
        <v>0.54</v>
      </c>
      <c r="I15">
        <v>0.81755733743878778</v>
      </c>
      <c r="J15">
        <v>0.65720000000000001</v>
      </c>
      <c r="K15">
        <v>0.84858008461193568</v>
      </c>
      <c r="L15">
        <v>0.54500000000000004</v>
      </c>
      <c r="M15">
        <v>0.97802497312856862</v>
      </c>
      <c r="N15">
        <v>0.86690985822937494</v>
      </c>
      <c r="O15">
        <v>0.98715258277032769</v>
      </c>
      <c r="P15">
        <v>0.85857312133816499</v>
      </c>
      <c r="Q15">
        <v>0.98815888837917976</v>
      </c>
      <c r="R15">
        <v>0.88464641787455933</v>
      </c>
      <c r="S15">
        <v>0.98869644366162335</v>
      </c>
      <c r="T15">
        <v>0.8783467646116222</v>
      </c>
      <c r="U15">
        <v>0.98969577748683224</v>
      </c>
      <c r="V15">
        <v>0.94295672056603852</v>
      </c>
      <c r="W15">
        <v>0.18</v>
      </c>
      <c r="X15">
        <v>0.82</v>
      </c>
      <c r="Y15">
        <v>0.36320411396619579</v>
      </c>
      <c r="Z15">
        <v>2.0839952847759729E-2</v>
      </c>
      <c r="AA15">
        <v>0.13363062434803119</v>
      </c>
      <c r="AB15">
        <v>1.9756972645764689E-2</v>
      </c>
      <c r="AC15">
        <v>0.35821367356839429</v>
      </c>
      <c r="AD15">
        <v>1.9060636785859189E-2</v>
      </c>
      <c r="AE15">
        <v>0.16069738181542881</v>
      </c>
      <c r="AF15">
        <v>1.9938399809832349E-2</v>
      </c>
      <c r="AG15">
        <v>0.38957048562503582</v>
      </c>
      <c r="AH15">
        <v>2.2301626902679849E-2</v>
      </c>
      <c r="AI15">
        <v>0.1212564822230998</v>
      </c>
      <c r="AJ15">
        <v>2.5304943071651809E-2</v>
      </c>
      <c r="AK15">
        <v>0.3876143240682548</v>
      </c>
      <c r="AL15">
        <v>2.333079816271659E-2</v>
      </c>
      <c r="AM15">
        <v>0.13741110588121591</v>
      </c>
      <c r="AN15">
        <v>2.7175009098431999E-2</v>
      </c>
    </row>
    <row r="16" spans="1:40">
      <c r="A16">
        <v>90</v>
      </c>
      <c r="B16">
        <v>5.8899702895148218</v>
      </c>
      <c r="C16">
        <v>6.2914723340227923</v>
      </c>
      <c r="D16">
        <v>18.70982730496965</v>
      </c>
      <c r="E16">
        <v>1.765076099593925</v>
      </c>
      <c r="F16">
        <v>1.8214376780873549</v>
      </c>
      <c r="G16">
        <v>4.6610331874576358</v>
      </c>
      <c r="H16">
        <v>0.51</v>
      </c>
      <c r="I16">
        <v>0.7279423054061358</v>
      </c>
      <c r="J16">
        <v>0.68120000000000003</v>
      </c>
      <c r="K16">
        <v>0.88790008446896773</v>
      </c>
      <c r="L16">
        <v>0.54500000000000004</v>
      </c>
      <c r="M16">
        <v>0.97837558918463619</v>
      </c>
      <c r="N16">
        <v>0.86709206039957643</v>
      </c>
      <c r="O16">
        <v>0.98718045480941163</v>
      </c>
      <c r="P16">
        <v>0.8597219620725266</v>
      </c>
      <c r="Q16">
        <v>0.98837423813715863</v>
      </c>
      <c r="R16">
        <v>0.88653878910507378</v>
      </c>
      <c r="S16">
        <v>0.98873806718227331</v>
      </c>
      <c r="T16">
        <v>0.88087934734443385</v>
      </c>
      <c r="U16">
        <v>0.98994981389450698</v>
      </c>
      <c r="V16">
        <v>1.2444390399823591</v>
      </c>
      <c r="W16">
        <v>0.18999999999999989</v>
      </c>
      <c r="X16">
        <v>0.81</v>
      </c>
      <c r="Y16">
        <v>0.35954455286906212</v>
      </c>
      <c r="Z16">
        <v>2.0472581138560351E-2</v>
      </c>
      <c r="AA16">
        <v>0.13103366327511909</v>
      </c>
      <c r="AB16">
        <v>1.8073056939410359E-2</v>
      </c>
      <c r="AC16">
        <v>0.35547140308664971</v>
      </c>
      <c r="AD16">
        <v>1.8368353476189671E-2</v>
      </c>
      <c r="AE16">
        <v>0.16014431414196961</v>
      </c>
      <c r="AF16">
        <v>1.7874672384925301E-2</v>
      </c>
      <c r="AG16">
        <v>0.39284639647166858</v>
      </c>
      <c r="AH16">
        <v>2.5346227884717139E-2</v>
      </c>
      <c r="AI16">
        <v>0.1225464577972416</v>
      </c>
      <c r="AJ16">
        <v>2.624657184016474E-2</v>
      </c>
      <c r="AK16">
        <v>0.3913429567582945</v>
      </c>
      <c r="AL16">
        <v>2.5442931329801431E-2</v>
      </c>
      <c r="AM16">
        <v>0.14084904938775389</v>
      </c>
      <c r="AN16">
        <v>2.9380223402496731E-2</v>
      </c>
    </row>
    <row r="17" spans="1:40">
      <c r="A17">
        <v>96</v>
      </c>
      <c r="B17">
        <v>6.6440341880106484</v>
      </c>
      <c r="C17">
        <v>7.0644992528914008</v>
      </c>
      <c r="D17">
        <v>19.726395486691601</v>
      </c>
      <c r="E17">
        <v>1.4869744029245899</v>
      </c>
      <c r="F17">
        <v>1.481783813933599</v>
      </c>
      <c r="G17">
        <v>3.0864324078751588</v>
      </c>
      <c r="H17">
        <v>0.64</v>
      </c>
      <c r="I17">
        <v>0.80647380614623798</v>
      </c>
      <c r="J17">
        <v>0.80879999999999996</v>
      </c>
      <c r="K17">
        <v>0.96054284651961253</v>
      </c>
      <c r="L17">
        <v>0.47549999999999998</v>
      </c>
      <c r="M17">
        <v>0.97600232759922112</v>
      </c>
      <c r="N17">
        <v>0.86610610633913931</v>
      </c>
      <c r="O17">
        <v>0.9858296286320154</v>
      </c>
      <c r="P17">
        <v>0.85703898023430558</v>
      </c>
      <c r="Q17">
        <v>0.98708694777124073</v>
      </c>
      <c r="R17">
        <v>0.88159049129534506</v>
      </c>
      <c r="S17">
        <v>0.98726198880033134</v>
      </c>
      <c r="T17">
        <v>0.87448473343269384</v>
      </c>
      <c r="U17">
        <v>0.9885050296301735</v>
      </c>
      <c r="V17">
        <v>1.325961623581883</v>
      </c>
      <c r="W17">
        <v>0.15</v>
      </c>
      <c r="X17">
        <v>0.85</v>
      </c>
      <c r="Y17">
        <v>0.36304241721869979</v>
      </c>
      <c r="Z17">
        <v>1.8340120945295749E-2</v>
      </c>
      <c r="AA17">
        <v>0.13450928633395709</v>
      </c>
      <c r="AB17">
        <v>1.874963557060615E-2</v>
      </c>
      <c r="AC17">
        <v>0.35858613837631292</v>
      </c>
      <c r="AD17">
        <v>1.633487809355998E-2</v>
      </c>
      <c r="AE17">
        <v>0.1629627940444934</v>
      </c>
      <c r="AF17">
        <v>2.1096573306209739E-2</v>
      </c>
      <c r="AG17">
        <v>0.39014364232956311</v>
      </c>
      <c r="AH17">
        <v>2.2789731392782141E-2</v>
      </c>
      <c r="AI17">
        <v>0.1230881858089572</v>
      </c>
      <c r="AJ17">
        <v>2.9287344218292759E-2</v>
      </c>
      <c r="AK17">
        <v>0.38841184429991232</v>
      </c>
      <c r="AL17">
        <v>2.3898317219835291E-2</v>
      </c>
      <c r="AM17">
        <v>0.14063829378652909</v>
      </c>
      <c r="AN17">
        <v>3.4445434551580181E-2</v>
      </c>
    </row>
    <row r="18" spans="1:40">
      <c r="A18">
        <v>102</v>
      </c>
      <c r="B18">
        <v>6.7530706179006756</v>
      </c>
      <c r="C18">
        <v>7.1670932583115823</v>
      </c>
      <c r="D18">
        <v>18.830361179216069</v>
      </c>
      <c r="E18">
        <v>1.95181236811908</v>
      </c>
      <c r="F18">
        <v>1.971072746368532</v>
      </c>
      <c r="G18">
        <v>4.2004305040090832</v>
      </c>
      <c r="H18">
        <v>0.71</v>
      </c>
      <c r="I18">
        <v>0.80367904041352234</v>
      </c>
      <c r="J18">
        <v>0.90210000000000001</v>
      </c>
      <c r="K18">
        <v>0.92049746876349425</v>
      </c>
      <c r="L18">
        <v>0.42780000000000001</v>
      </c>
      <c r="M18">
        <v>0.97479520722007729</v>
      </c>
      <c r="N18">
        <v>0.86235649261780511</v>
      </c>
      <c r="O18">
        <v>0.98581920455475525</v>
      </c>
      <c r="P18">
        <v>0.85471180293648397</v>
      </c>
      <c r="Q18">
        <v>0.98644003991347562</v>
      </c>
      <c r="R18">
        <v>0.88388002004138599</v>
      </c>
      <c r="S18">
        <v>0.98809209270715292</v>
      </c>
      <c r="T18">
        <v>0.87834390942365392</v>
      </c>
      <c r="U18">
        <v>0.98875694067926345</v>
      </c>
      <c r="V18">
        <v>1.5778879210980601</v>
      </c>
      <c r="W18">
        <v>8.9999999999999969E-2</v>
      </c>
      <c r="X18">
        <v>0.91</v>
      </c>
      <c r="Y18">
        <v>0.36092589070841391</v>
      </c>
      <c r="Z18">
        <v>1.577788868479707E-2</v>
      </c>
      <c r="AA18">
        <v>0.13685056958665259</v>
      </c>
      <c r="AB18">
        <v>2.0794715948449172E-2</v>
      </c>
      <c r="AC18">
        <v>0.35730590356857461</v>
      </c>
      <c r="AD18">
        <v>1.4847493060385211E-2</v>
      </c>
      <c r="AE18">
        <v>0.16775092576529779</v>
      </c>
      <c r="AF18">
        <v>2.0037234926375588E-2</v>
      </c>
      <c r="AG18">
        <v>0.39317254402869678</v>
      </c>
      <c r="AH18">
        <v>2.4664322549061E-2</v>
      </c>
      <c r="AI18">
        <v>0.12779025977787109</v>
      </c>
      <c r="AJ18">
        <v>2.857835666637772E-2</v>
      </c>
      <c r="AK18">
        <v>0.39260890032750118</v>
      </c>
      <c r="AL18">
        <v>2.5298972572911471E-2</v>
      </c>
      <c r="AM18">
        <v>0.14798103098593809</v>
      </c>
      <c r="AN18">
        <v>3.185194283110053E-2</v>
      </c>
    </row>
    <row r="19" spans="1:40">
      <c r="A19">
        <v>108</v>
      </c>
      <c r="B19">
        <v>7.1418056498539162</v>
      </c>
      <c r="C19">
        <v>7.5538165905591406</v>
      </c>
      <c r="D19">
        <v>18.87861314980476</v>
      </c>
      <c r="E19">
        <v>1.8115492601245839</v>
      </c>
      <c r="F19">
        <v>1.882033644783849</v>
      </c>
      <c r="G19">
        <v>3.7866060237035448</v>
      </c>
      <c r="H19">
        <v>0.55000000000000004</v>
      </c>
      <c r="I19">
        <v>0.84113019206303608</v>
      </c>
      <c r="J19">
        <v>0.7984</v>
      </c>
      <c r="K19">
        <v>0.99124035430363711</v>
      </c>
      <c r="L19">
        <v>0.50590000000000002</v>
      </c>
      <c r="M19">
        <v>0.97900124176624637</v>
      </c>
      <c r="N19">
        <v>0.86616441539899969</v>
      </c>
      <c r="O19">
        <v>0.98754114969551743</v>
      </c>
      <c r="P19">
        <v>0.85883890008166308</v>
      </c>
      <c r="Q19">
        <v>0.98866780940811205</v>
      </c>
      <c r="R19">
        <v>0.88422467052580656</v>
      </c>
      <c r="S19">
        <v>0.98915430928539083</v>
      </c>
      <c r="T19">
        <v>0.87883335888200365</v>
      </c>
      <c r="U19">
        <v>0.99028898199833548</v>
      </c>
      <c r="V19">
        <v>1.4046995438103169</v>
      </c>
      <c r="W19">
        <v>8.9999999999999969E-2</v>
      </c>
      <c r="X19">
        <v>0.91</v>
      </c>
      <c r="Y19">
        <v>0.36114244045511851</v>
      </c>
      <c r="Z19">
        <v>1.619786151804891E-2</v>
      </c>
      <c r="AA19">
        <v>0.13194943265008849</v>
      </c>
      <c r="AB19">
        <v>1.8589945498283932E-2</v>
      </c>
      <c r="AC19">
        <v>0.35674953934880332</v>
      </c>
      <c r="AD19">
        <v>1.4826028485017351E-2</v>
      </c>
      <c r="AE19">
        <v>0.1619580948807183</v>
      </c>
      <c r="AF19">
        <v>2.057653040205171E-2</v>
      </c>
      <c r="AG19">
        <v>0.3884230996754211</v>
      </c>
      <c r="AH19">
        <v>2.2482922741054411E-2</v>
      </c>
      <c r="AI19">
        <v>0.1190716061185301</v>
      </c>
      <c r="AJ19">
        <v>2.6464513038319089E-2</v>
      </c>
      <c r="AK19">
        <v>0.3870396412227412</v>
      </c>
      <c r="AL19">
        <v>2.3409025014125239E-2</v>
      </c>
      <c r="AM19">
        <v>0.13736790754253991</v>
      </c>
      <c r="AN19">
        <v>3.0338984247326721E-2</v>
      </c>
    </row>
    <row r="20" spans="1:40">
      <c r="A20">
        <v>114</v>
      </c>
      <c r="B20">
        <v>7.6617866404418304</v>
      </c>
      <c r="C20">
        <v>8.1001208192624912</v>
      </c>
      <c r="D20">
        <v>19.20010904719441</v>
      </c>
      <c r="E20">
        <v>1.984277535157327</v>
      </c>
      <c r="F20">
        <v>1.974850905412104</v>
      </c>
      <c r="G20">
        <v>4.0784296034350129</v>
      </c>
      <c r="H20">
        <v>0.73</v>
      </c>
      <c r="I20">
        <v>0.87011493493675873</v>
      </c>
      <c r="J20">
        <v>0.93979999999999997</v>
      </c>
      <c r="K20">
        <v>0.96642431674704876</v>
      </c>
      <c r="L20">
        <v>0.4012</v>
      </c>
      <c r="M20">
        <v>0.97666441362297662</v>
      </c>
      <c r="N20">
        <v>0.86366986324173523</v>
      </c>
      <c r="O20">
        <v>0.9864661390246674</v>
      </c>
      <c r="P20">
        <v>0.85603175182950308</v>
      </c>
      <c r="Q20">
        <v>0.98747430716768436</v>
      </c>
      <c r="R20">
        <v>0.88137736892912799</v>
      </c>
      <c r="S20">
        <v>0.98801065073828231</v>
      </c>
      <c r="T20">
        <v>0.87546108730972372</v>
      </c>
      <c r="U20">
        <v>0.98899938566723089</v>
      </c>
      <c r="V20">
        <v>1.6962205002385951</v>
      </c>
      <c r="W20">
        <v>6.9999999999999951E-2</v>
      </c>
      <c r="X20">
        <v>0.93</v>
      </c>
      <c r="Y20">
        <v>0.3599830355430616</v>
      </c>
      <c r="Z20">
        <v>1.5882764763353121E-2</v>
      </c>
      <c r="AA20">
        <v>0.13770141683626599</v>
      </c>
      <c r="AB20">
        <v>1.8179052271125401E-2</v>
      </c>
      <c r="AC20">
        <v>0.35670093491815769</v>
      </c>
      <c r="AD20">
        <v>1.4716486079810871E-2</v>
      </c>
      <c r="AE20">
        <v>0.1686025333334954</v>
      </c>
      <c r="AF20">
        <v>1.8388390913678939E-2</v>
      </c>
      <c r="AG20">
        <v>0.39160718971619451</v>
      </c>
      <c r="AH20">
        <v>2.2359945519283841E-2</v>
      </c>
      <c r="AI20">
        <v>0.1277751174987905</v>
      </c>
      <c r="AJ20">
        <v>2.2848888263246402E-2</v>
      </c>
      <c r="AK20">
        <v>0.39096435558253451</v>
      </c>
      <c r="AL20">
        <v>2.3120839864162929E-2</v>
      </c>
      <c r="AM20">
        <v>0.14759081932773779</v>
      </c>
      <c r="AN20">
        <v>2.517654769893652E-2</v>
      </c>
    </row>
    <row r="21" spans="1:40">
      <c r="A21">
        <v>120</v>
      </c>
      <c r="B21">
        <v>8.2717820876535058</v>
      </c>
      <c r="C21">
        <v>8.6924070266648013</v>
      </c>
      <c r="D21">
        <v>19.718171069133909</v>
      </c>
      <c r="E21">
        <v>1.9617951011204451</v>
      </c>
      <c r="F21">
        <v>1.9691251207486431</v>
      </c>
      <c r="G21">
        <v>3.441490481891027</v>
      </c>
      <c r="H21">
        <v>0.86</v>
      </c>
      <c r="I21">
        <v>0.97999999999999987</v>
      </c>
      <c r="J21">
        <v>1.0882000000000001</v>
      </c>
      <c r="K21">
        <v>1.099190957022482</v>
      </c>
      <c r="L21">
        <v>0.3579</v>
      </c>
      <c r="M21">
        <v>0.9740458858685257</v>
      </c>
      <c r="N21">
        <v>0.8641626004429287</v>
      </c>
      <c r="O21">
        <v>0.98449340787081907</v>
      </c>
      <c r="P21">
        <v>0.85639299847177353</v>
      </c>
      <c r="Q21">
        <v>0.98579755722856677</v>
      </c>
      <c r="R21">
        <v>0.88133525923539124</v>
      </c>
      <c r="S21">
        <v>0.98633055418960924</v>
      </c>
      <c r="T21">
        <v>0.87531021596609937</v>
      </c>
      <c r="U21">
        <v>0.9876335242465295</v>
      </c>
      <c r="V21">
        <v>2.0405438778238629</v>
      </c>
      <c r="W21">
        <v>3.000000000000003E-2</v>
      </c>
      <c r="X21">
        <v>0.97</v>
      </c>
      <c r="Y21">
        <v>0.36341887654855531</v>
      </c>
      <c r="Z21">
        <v>1.649180503526165E-2</v>
      </c>
      <c r="AA21">
        <v>0.1336207590727615</v>
      </c>
      <c r="AB21">
        <v>2.014416991710509E-2</v>
      </c>
      <c r="AC21">
        <v>0.3579754761871059</v>
      </c>
      <c r="AD21">
        <v>1.557487988963023E-2</v>
      </c>
      <c r="AE21">
        <v>0.1623481337983852</v>
      </c>
      <c r="AF21">
        <v>2.0417047814194442E-2</v>
      </c>
      <c r="AG21">
        <v>0.38810484666303352</v>
      </c>
      <c r="AH21">
        <v>1.9732296135630972E-2</v>
      </c>
      <c r="AI21">
        <v>0.1194751732728075</v>
      </c>
      <c r="AJ21">
        <v>2.5934845615114999E-2</v>
      </c>
      <c r="AK21">
        <v>0.38540881894337697</v>
      </c>
      <c r="AL21">
        <v>2.0322076419993559E-2</v>
      </c>
      <c r="AM21">
        <v>0.13630848910862389</v>
      </c>
      <c r="AN21">
        <v>2.8581677500932288E-2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7D4D-AFED-418A-BA30-E845E4BFA4BF}">
  <dimension ref="A1:AN21"/>
  <sheetViews>
    <sheetView workbookViewId="0">
      <selection activeCell="E24" sqref="E24"/>
    </sheetView>
  </sheetViews>
  <sheetFormatPr defaultRowHeight="14.1"/>
  <cols>
    <col min="1" max="1" width="4.5" bestFit="1" customWidth="1"/>
    <col min="2" max="2" width="12.44921875" bestFit="1" customWidth="1"/>
    <col min="3" max="3" width="13.34765625" bestFit="1" customWidth="1"/>
    <col min="4" max="4" width="13.59765625" bestFit="1" customWidth="1"/>
    <col min="5" max="5" width="21.09765625" bestFit="1" customWidth="1"/>
    <col min="6" max="6" width="22.046875" bestFit="1" customWidth="1"/>
    <col min="7" max="7" width="22.25" bestFit="1" customWidth="1"/>
    <col min="8" max="8" width="31.44921875" bestFit="1" customWidth="1"/>
    <col min="9" max="9" width="29.19921875" bestFit="1" customWidth="1"/>
    <col min="10" max="10" width="26.84765625" bestFit="1" customWidth="1"/>
    <col min="11" max="11" width="24.59765625" bestFit="1" customWidth="1"/>
    <col min="12" max="12" width="40.6484375" bestFit="1" customWidth="1"/>
    <col min="13" max="13" width="34.046875" bestFit="1" customWidth="1"/>
    <col min="14" max="14" width="28.59765625" bestFit="1" customWidth="1"/>
    <col min="15" max="15" width="36.84765625" bestFit="1" customWidth="1"/>
    <col min="16" max="16" width="27.046875" bestFit="1" customWidth="1"/>
    <col min="17" max="17" width="35.296875" bestFit="1" customWidth="1"/>
    <col min="18" max="18" width="26.546875" bestFit="1" customWidth="1"/>
    <col min="19" max="19" width="34.796875" bestFit="1" customWidth="1"/>
    <col min="20" max="20" width="28.09765625" bestFit="1" customWidth="1"/>
    <col min="21" max="21" width="36.34765625" bestFit="1" customWidth="1"/>
    <col min="22" max="22" width="13.6484375" bestFit="1" customWidth="1"/>
    <col min="23" max="23" width="33.1484375" bestFit="1" customWidth="1"/>
    <col min="24" max="24" width="31.75" bestFit="1" customWidth="1"/>
    <col min="25" max="25" width="30.546875" bestFit="1" customWidth="1"/>
    <col min="26" max="26" width="28.296875" bestFit="1" customWidth="1"/>
    <col min="27" max="27" width="31.1484375" bestFit="1" customWidth="1"/>
    <col min="28" max="28" width="28.8984375" bestFit="1" customWidth="1"/>
    <col min="29" max="29" width="29" bestFit="1" customWidth="1"/>
    <col min="30" max="30" width="26.75" bestFit="1" customWidth="1"/>
    <col min="31" max="31" width="29.59765625" bestFit="1" customWidth="1"/>
    <col min="32" max="32" width="27.34765625" bestFit="1" customWidth="1"/>
    <col min="33" max="33" width="28.5" bestFit="1" customWidth="1"/>
    <col min="34" max="34" width="26.25" bestFit="1" customWidth="1"/>
    <col min="35" max="35" width="29.1484375" bestFit="1" customWidth="1"/>
    <col min="36" max="36" width="26.8984375" bestFit="1" customWidth="1"/>
    <col min="37" max="37" width="30" bestFit="1" customWidth="1"/>
    <col min="38" max="38" width="27.796875" bestFit="1" customWidth="1"/>
    <col min="39" max="39" width="30.6484375" bestFit="1" customWidth="1"/>
    <col min="40" max="40" width="28.3984375" bestFit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6</v>
      </c>
      <c r="B2">
        <v>0.27816666666666662</v>
      </c>
      <c r="C2">
        <v>0.36029735314307748</v>
      </c>
      <c r="D2">
        <v>13.90833333333333</v>
      </c>
      <c r="E2">
        <v>0.36545021700788621</v>
      </c>
      <c r="F2">
        <v>0.4715426640132992</v>
      </c>
      <c r="G2">
        <v>18.272510850394308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0.84547619047619049</v>
      </c>
      <c r="O2">
        <v>1</v>
      </c>
      <c r="P2">
        <v>0.83333333333333359</v>
      </c>
      <c r="Q2">
        <v>1</v>
      </c>
      <c r="R2">
        <v>0.84547619047619049</v>
      </c>
      <c r="S2">
        <v>1</v>
      </c>
      <c r="T2">
        <v>0.83333333333333359</v>
      </c>
      <c r="U2">
        <v>1</v>
      </c>
      <c r="V2">
        <v>0</v>
      </c>
      <c r="W2">
        <v>1</v>
      </c>
      <c r="X2">
        <v>0</v>
      </c>
      <c r="Y2">
        <v>0.32873009490509469</v>
      </c>
      <c r="Z2">
        <v>5.0051110790280733E-2</v>
      </c>
      <c r="AA2">
        <v>0.22247515151515149</v>
      </c>
      <c r="AB2">
        <v>2.8756116091575652E-2</v>
      </c>
      <c r="AC2">
        <v>0.31829050671550652</v>
      </c>
      <c r="AD2">
        <v>4.0823568833828011E-2</v>
      </c>
      <c r="AE2">
        <v>0.24891655518394651</v>
      </c>
      <c r="AF2">
        <v>6.0259638968854813E-3</v>
      </c>
      <c r="AG2">
        <v>0.32873009490509469</v>
      </c>
      <c r="AH2">
        <v>5.0051110790280733E-2</v>
      </c>
      <c r="AI2">
        <v>0.20045612403100771</v>
      </c>
      <c r="AJ2">
        <v>5.1172147989976532E-2</v>
      </c>
      <c r="AK2">
        <v>0.31829050671550652</v>
      </c>
      <c r="AL2">
        <v>4.0823568833828011E-2</v>
      </c>
      <c r="AM2">
        <v>0.2155351449275362</v>
      </c>
      <c r="AN2">
        <v>3.7935184325420278E-2</v>
      </c>
    </row>
    <row r="3" spans="1:40">
      <c r="A3">
        <v>12</v>
      </c>
      <c r="B3">
        <v>0.62156395891690019</v>
      </c>
      <c r="C3">
        <v>0.78268346677814404</v>
      </c>
      <c r="D3">
        <v>14.405545051353871</v>
      </c>
      <c r="E3">
        <v>0.56525310654826544</v>
      </c>
      <c r="F3">
        <v>0.69806452363718552</v>
      </c>
      <c r="G3">
        <v>12.83070665139644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0.84435897435897445</v>
      </c>
      <c r="O3">
        <v>1</v>
      </c>
      <c r="P3">
        <v>0.83653846153846168</v>
      </c>
      <c r="Q3">
        <v>1</v>
      </c>
      <c r="R3">
        <v>0.84802564102564104</v>
      </c>
      <c r="S3">
        <v>1</v>
      </c>
      <c r="T3">
        <v>0.84020512820512849</v>
      </c>
      <c r="U3">
        <v>1</v>
      </c>
      <c r="V3">
        <v>0</v>
      </c>
      <c r="W3">
        <v>1</v>
      </c>
      <c r="X3">
        <v>0</v>
      </c>
      <c r="Y3">
        <v>0.33473959657898822</v>
      </c>
      <c r="Z3">
        <v>3.2234268178417187E-2</v>
      </c>
      <c r="AA3">
        <v>0.19817008423101451</v>
      </c>
      <c r="AB3">
        <v>3.8032692788701951E-2</v>
      </c>
      <c r="AC3">
        <v>0.32878075848068328</v>
      </c>
      <c r="AD3">
        <v>2.8782882978340051E-2</v>
      </c>
      <c r="AE3">
        <v>0.233732878643096</v>
      </c>
      <c r="AF3">
        <v>2.6511071830347899E-2</v>
      </c>
      <c r="AG3">
        <v>0.34051346509941549</v>
      </c>
      <c r="AH3">
        <v>3.3755511171950338E-2</v>
      </c>
      <c r="AI3">
        <v>0.17201902802654651</v>
      </c>
      <c r="AJ3">
        <v>5.0660244405219608E-2</v>
      </c>
      <c r="AK3">
        <v>0.3345546270011106</v>
      </c>
      <c r="AL3">
        <v>3.1585628653781998E-2</v>
      </c>
      <c r="AM3">
        <v>0.19285449313513819</v>
      </c>
      <c r="AN3">
        <v>4.4770336647098737E-2</v>
      </c>
    </row>
    <row r="4" spans="1:40">
      <c r="A4">
        <v>18</v>
      </c>
      <c r="B4">
        <v>1.033196512697828</v>
      </c>
      <c r="C4">
        <v>1.2823090808195079</v>
      </c>
      <c r="D4">
        <v>16.282186575955372</v>
      </c>
      <c r="E4">
        <v>0.65004548805356155</v>
      </c>
      <c r="F4">
        <v>0.77722635167792586</v>
      </c>
      <c r="G4">
        <v>9.9450228467104171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0.84241737286359708</v>
      </c>
      <c r="O4">
        <v>1</v>
      </c>
      <c r="P4">
        <v>0.83552514228715613</v>
      </c>
      <c r="Q4">
        <v>1</v>
      </c>
      <c r="R4">
        <v>0.85306304298295144</v>
      </c>
      <c r="S4">
        <v>1</v>
      </c>
      <c r="T4">
        <v>0.84644422320623691</v>
      </c>
      <c r="U4">
        <v>1</v>
      </c>
      <c r="V4">
        <v>0</v>
      </c>
      <c r="W4">
        <v>1</v>
      </c>
      <c r="X4">
        <v>0</v>
      </c>
      <c r="Y4">
        <v>0.3389583464714373</v>
      </c>
      <c r="Z4">
        <v>2.6319714730919271E-2</v>
      </c>
      <c r="AA4">
        <v>0.1998664538939495</v>
      </c>
      <c r="AB4">
        <v>2.8260837075037959E-2</v>
      </c>
      <c r="AC4">
        <v>0.33527465405450818</v>
      </c>
      <c r="AD4">
        <v>2.3214575978908719E-2</v>
      </c>
      <c r="AE4">
        <v>0.23718845633012889</v>
      </c>
      <c r="AF4">
        <v>1.8705377815837129E-2</v>
      </c>
      <c r="AG4">
        <v>0.35285677869655879</v>
      </c>
      <c r="AH4">
        <v>3.3029689419688632E-2</v>
      </c>
      <c r="AI4">
        <v>0.17853751936481049</v>
      </c>
      <c r="AJ4">
        <v>3.9537266659442738E-2</v>
      </c>
      <c r="AK4">
        <v>0.34966188458771441</v>
      </c>
      <c r="AL4">
        <v>3.1449203162456321E-2</v>
      </c>
      <c r="AM4">
        <v>0.20235045959515269</v>
      </c>
      <c r="AN4">
        <v>3.6600903262382169E-2</v>
      </c>
    </row>
    <row r="5" spans="1:40">
      <c r="A5">
        <v>24</v>
      </c>
      <c r="B5">
        <v>1.2684104280204029</v>
      </c>
      <c r="C5">
        <v>1.5276988332639641</v>
      </c>
      <c r="D5">
        <v>15.40788037473558</v>
      </c>
      <c r="E5">
        <v>0.78102281687637454</v>
      </c>
      <c r="F5">
        <v>0.92069526390662826</v>
      </c>
      <c r="G5">
        <v>9.2079676664700116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0.8406799521259869</v>
      </c>
      <c r="O5">
        <v>1</v>
      </c>
      <c r="P5">
        <v>0.83458486708062973</v>
      </c>
      <c r="Q5">
        <v>1</v>
      </c>
      <c r="R5">
        <v>0.85490127713920816</v>
      </c>
      <c r="S5">
        <v>1</v>
      </c>
      <c r="T5">
        <v>0.84929988772402554</v>
      </c>
      <c r="U5">
        <v>1</v>
      </c>
      <c r="V5">
        <v>0</v>
      </c>
      <c r="W5">
        <v>1</v>
      </c>
      <c r="X5">
        <v>0</v>
      </c>
      <c r="Y5">
        <v>0.34135734958293251</v>
      </c>
      <c r="Z5">
        <v>2.4008178568007861E-2</v>
      </c>
      <c r="AA5">
        <v>0.20247089780449209</v>
      </c>
      <c r="AB5">
        <v>2.424403361821895E-2</v>
      </c>
      <c r="AC5">
        <v>0.33749783842902209</v>
      </c>
      <c r="AD5">
        <v>2.100584292307376E-2</v>
      </c>
      <c r="AE5">
        <v>0.24242721961775951</v>
      </c>
      <c r="AF5">
        <v>1.9860758145001069E-2</v>
      </c>
      <c r="AG5">
        <v>0.36059317476975389</v>
      </c>
      <c r="AH5">
        <v>3.05607384967122E-2</v>
      </c>
      <c r="AI5">
        <v>0.18431280125402799</v>
      </c>
      <c r="AJ5">
        <v>3.8901364965541023E-2</v>
      </c>
      <c r="AK5">
        <v>0.35737410310526141</v>
      </c>
      <c r="AL5">
        <v>3.0536927275733129E-2</v>
      </c>
      <c r="AM5">
        <v>0.21147380421412401</v>
      </c>
      <c r="AN5">
        <v>4.2236413724364971E-2</v>
      </c>
    </row>
    <row r="6" spans="1:40">
      <c r="A6">
        <v>30</v>
      </c>
      <c r="B6">
        <v>1.7322187893741949</v>
      </c>
      <c r="C6">
        <v>2.0421040511749982</v>
      </c>
      <c r="D6">
        <v>16.94217796145395</v>
      </c>
      <c r="E6">
        <v>0.85189799311261727</v>
      </c>
      <c r="F6">
        <v>0.96362465526529684</v>
      </c>
      <c r="G6">
        <v>8.0149512338510771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0.84366232933588725</v>
      </c>
      <c r="O6">
        <v>1</v>
      </c>
      <c r="P6">
        <v>0.83564618549567515</v>
      </c>
      <c r="Q6">
        <v>1</v>
      </c>
      <c r="R6">
        <v>0.85681168181830603</v>
      </c>
      <c r="S6">
        <v>1</v>
      </c>
      <c r="T6">
        <v>0.84934286038023765</v>
      </c>
      <c r="U6">
        <v>1</v>
      </c>
      <c r="V6">
        <v>0</v>
      </c>
      <c r="W6">
        <v>1</v>
      </c>
      <c r="X6">
        <v>0</v>
      </c>
      <c r="Y6">
        <v>0.3481080634325508</v>
      </c>
      <c r="Z6">
        <v>2.2131548768100279E-2</v>
      </c>
      <c r="AA6">
        <v>0.20584581514340561</v>
      </c>
      <c r="AB6">
        <v>3.2616410004101898E-2</v>
      </c>
      <c r="AC6">
        <v>0.34335641242911119</v>
      </c>
      <c r="AD6">
        <v>1.9630861667939741E-2</v>
      </c>
      <c r="AE6">
        <v>0.24146699131137769</v>
      </c>
      <c r="AF6">
        <v>3.047215453627828E-2</v>
      </c>
      <c r="AG6">
        <v>0.36573058449493517</v>
      </c>
      <c r="AH6">
        <v>2.473627972007619E-2</v>
      </c>
      <c r="AI6">
        <v>0.1877630536587912</v>
      </c>
      <c r="AJ6">
        <v>3.8575682415488539E-2</v>
      </c>
      <c r="AK6">
        <v>0.36178849253783768</v>
      </c>
      <c r="AL6">
        <v>2.4943340019421521E-2</v>
      </c>
      <c r="AM6">
        <v>0.2115740890928873</v>
      </c>
      <c r="AN6">
        <v>3.9052918279415413E-2</v>
      </c>
    </row>
    <row r="7" spans="1:40">
      <c r="A7">
        <v>36</v>
      </c>
      <c r="B7">
        <v>2.3534803672922</v>
      </c>
      <c r="C7">
        <v>2.6850795408490131</v>
      </c>
      <c r="D7">
        <v>19.04437283320242</v>
      </c>
      <c r="E7">
        <v>0.87436008712966007</v>
      </c>
      <c r="F7">
        <v>0.96690780125334463</v>
      </c>
      <c r="G7">
        <v>6.7438221131869831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0.84375107143724704</v>
      </c>
      <c r="O7">
        <v>1</v>
      </c>
      <c r="P7">
        <v>0.83568263365085727</v>
      </c>
      <c r="Q7">
        <v>1</v>
      </c>
      <c r="R7">
        <v>0.85351200768522062</v>
      </c>
      <c r="S7">
        <v>1</v>
      </c>
      <c r="T7">
        <v>0.84616562090458047</v>
      </c>
      <c r="U7">
        <v>1</v>
      </c>
      <c r="V7">
        <v>0</v>
      </c>
      <c r="W7">
        <v>1</v>
      </c>
      <c r="X7">
        <v>0</v>
      </c>
      <c r="Y7">
        <v>0.34691790169878939</v>
      </c>
      <c r="Z7">
        <v>1.9669025576484981E-2</v>
      </c>
      <c r="AA7">
        <v>0.20330398418753959</v>
      </c>
      <c r="AB7">
        <v>2.838080576591432E-2</v>
      </c>
      <c r="AC7">
        <v>0.34243118046187232</v>
      </c>
      <c r="AD7">
        <v>1.67460280876221E-2</v>
      </c>
      <c r="AE7">
        <v>0.23912048725035959</v>
      </c>
      <c r="AF7">
        <v>2.616434530097354E-2</v>
      </c>
      <c r="AG7">
        <v>0.35977951691479709</v>
      </c>
      <c r="AH7">
        <v>2.3512290110902091E-2</v>
      </c>
      <c r="AI7">
        <v>0.18036174790920531</v>
      </c>
      <c r="AJ7">
        <v>3.5473608734734201E-2</v>
      </c>
      <c r="AK7">
        <v>0.35643040223049632</v>
      </c>
      <c r="AL7">
        <v>2.2407248905091871E-2</v>
      </c>
      <c r="AM7">
        <v>0.20314046034548841</v>
      </c>
      <c r="AN7">
        <v>3.4778183060895113E-2</v>
      </c>
    </row>
    <row r="8" spans="1:40">
      <c r="A8">
        <v>42</v>
      </c>
      <c r="B8">
        <v>2.8380854982431658</v>
      </c>
      <c r="C8">
        <v>3.2008317205747052</v>
      </c>
      <c r="D8">
        <v>19.4784085986423</v>
      </c>
      <c r="E8">
        <v>0.90616403493053876</v>
      </c>
      <c r="F8">
        <v>0.95466038773725947</v>
      </c>
      <c r="G8">
        <v>5.5995838347808533</v>
      </c>
      <c r="H8">
        <v>0.03</v>
      </c>
      <c r="I8">
        <v>0.1705872210923198</v>
      </c>
      <c r="J8">
        <v>4.2700000000000002E-2</v>
      </c>
      <c r="K8">
        <v>0.22688479455441701</v>
      </c>
      <c r="L8">
        <v>0.96260000000000001</v>
      </c>
      <c r="M8">
        <v>0.99720142857142857</v>
      </c>
      <c r="N8">
        <v>0.83972319404933582</v>
      </c>
      <c r="O8">
        <v>0.99843405450665801</v>
      </c>
      <c r="P8">
        <v>0.83476957842345878</v>
      </c>
      <c r="Q8">
        <v>0.99889626373626383</v>
      </c>
      <c r="R8">
        <v>0.8523126422878331</v>
      </c>
      <c r="S8">
        <v>0.99843405450665801</v>
      </c>
      <c r="T8">
        <v>0.84794499475819451</v>
      </c>
      <c r="U8">
        <v>0.99889626373626383</v>
      </c>
      <c r="V8">
        <v>9.9939185548120632E-2</v>
      </c>
      <c r="W8">
        <v>0.91</v>
      </c>
      <c r="X8">
        <v>0.09</v>
      </c>
      <c r="Y8">
        <v>0.34481690669971932</v>
      </c>
      <c r="Z8">
        <v>1.627801006474458E-2</v>
      </c>
      <c r="AA8">
        <v>0.19702913901867211</v>
      </c>
      <c r="AB8">
        <v>2.8984169880304628E-2</v>
      </c>
      <c r="AC8">
        <v>0.34182717293351178</v>
      </c>
      <c r="AD8">
        <v>1.364472225062829E-2</v>
      </c>
      <c r="AE8">
        <v>0.23820980222458629</v>
      </c>
      <c r="AF8">
        <v>2.658796724513848E-2</v>
      </c>
      <c r="AG8">
        <v>0.36250135471024758</v>
      </c>
      <c r="AH8">
        <v>2.1670148960361992E-2</v>
      </c>
      <c r="AI8">
        <v>0.17448385913779141</v>
      </c>
      <c r="AJ8">
        <v>3.726265950768206E-2</v>
      </c>
      <c r="AK8">
        <v>0.36031921035903891</v>
      </c>
      <c r="AL8">
        <v>2.1839410951112689E-2</v>
      </c>
      <c r="AM8">
        <v>0.20120642002726921</v>
      </c>
      <c r="AN8">
        <v>3.8703400202919687E-2</v>
      </c>
    </row>
    <row r="9" spans="1:40">
      <c r="A9">
        <v>48</v>
      </c>
      <c r="B9">
        <v>3.2964915322635631</v>
      </c>
      <c r="C9">
        <v>3.6894033119942811</v>
      </c>
      <c r="D9">
        <v>19.927490435696381</v>
      </c>
      <c r="E9">
        <v>0.98049045875164975</v>
      </c>
      <c r="F9">
        <v>1.041400967685099</v>
      </c>
      <c r="G9">
        <v>5.3005893311830228</v>
      </c>
      <c r="H9">
        <v>0.06</v>
      </c>
      <c r="I9">
        <v>0.2764054992217051</v>
      </c>
      <c r="J9">
        <v>6.7299999999999999E-2</v>
      </c>
      <c r="K9">
        <v>0.28769899200379562</v>
      </c>
      <c r="L9">
        <v>0.94269999999999998</v>
      </c>
      <c r="M9">
        <v>0.99596936274509784</v>
      </c>
      <c r="N9">
        <v>0.8412124020385825</v>
      </c>
      <c r="O9">
        <v>0.99839689536561638</v>
      </c>
      <c r="P9">
        <v>0.83479791799801184</v>
      </c>
      <c r="Q9">
        <v>0.99833832562593272</v>
      </c>
      <c r="R9">
        <v>0.85517948714021963</v>
      </c>
      <c r="S9">
        <v>0.99853924583644948</v>
      </c>
      <c r="T9">
        <v>0.84957314340313894</v>
      </c>
      <c r="U9">
        <v>0.99849497131337506</v>
      </c>
      <c r="V9">
        <v>0.21010512373521059</v>
      </c>
      <c r="W9">
        <v>0.81</v>
      </c>
      <c r="X9">
        <v>0.19</v>
      </c>
      <c r="Y9">
        <v>0.34661170441003331</v>
      </c>
      <c r="Z9">
        <v>1.3952393421777939E-2</v>
      </c>
      <c r="AA9">
        <v>0.19765054045633501</v>
      </c>
      <c r="AB9">
        <v>2.696832397544615E-2</v>
      </c>
      <c r="AC9">
        <v>0.34315596457297798</v>
      </c>
      <c r="AD9">
        <v>1.281872663940405E-2</v>
      </c>
      <c r="AE9">
        <v>0.23691942102687349</v>
      </c>
      <c r="AF9">
        <v>2.457635796578345E-2</v>
      </c>
      <c r="AG9">
        <v>0.36553756917929808</v>
      </c>
      <c r="AH9">
        <v>2.1547474734532671E-2</v>
      </c>
      <c r="AI9">
        <v>0.1768563287257803</v>
      </c>
      <c r="AJ9">
        <v>3.2679648291874808E-2</v>
      </c>
      <c r="AK9">
        <v>0.36315376220697332</v>
      </c>
      <c r="AL9">
        <v>2.2334211348014759E-2</v>
      </c>
      <c r="AM9">
        <v>0.2027582556147853</v>
      </c>
      <c r="AN9">
        <v>3.397020472955898E-2</v>
      </c>
    </row>
    <row r="10" spans="1:40">
      <c r="A10">
        <v>54</v>
      </c>
      <c r="B10">
        <v>3.6649526671784871</v>
      </c>
      <c r="C10">
        <v>4.0227495819261554</v>
      </c>
      <c r="D10">
        <v>19.618784167071681</v>
      </c>
      <c r="E10">
        <v>1.124035324634133</v>
      </c>
      <c r="F10">
        <v>1.211836211036009</v>
      </c>
      <c r="G10">
        <v>5.5639173030911762</v>
      </c>
      <c r="H10">
        <v>0.23</v>
      </c>
      <c r="I10">
        <v>0.52640288753007436</v>
      </c>
      <c r="J10">
        <v>0.25619999999999998</v>
      </c>
      <c r="K10">
        <v>0.56014423142615688</v>
      </c>
      <c r="L10">
        <v>0.8054</v>
      </c>
      <c r="M10">
        <v>0.98674354066985648</v>
      </c>
      <c r="N10">
        <v>0.83668474173742757</v>
      </c>
      <c r="O10">
        <v>0.99436332952457995</v>
      </c>
      <c r="P10">
        <v>0.83132236080904209</v>
      </c>
      <c r="Q10">
        <v>0.99468847164376617</v>
      </c>
      <c r="R10">
        <v>0.85104669283627388</v>
      </c>
      <c r="S10">
        <v>0.99475859793024335</v>
      </c>
      <c r="T10">
        <v>0.84636184330747199</v>
      </c>
      <c r="U10">
        <v>0.99506797957983695</v>
      </c>
      <c r="V10">
        <v>0.41280007736428032</v>
      </c>
      <c r="W10">
        <v>0.6</v>
      </c>
      <c r="X10">
        <v>0.4</v>
      </c>
      <c r="Y10">
        <v>0.34754704986247242</v>
      </c>
      <c r="Z10">
        <v>1.3565102629018781E-2</v>
      </c>
      <c r="AA10">
        <v>0.19652249710213329</v>
      </c>
      <c r="AB10">
        <v>2.544061913797754E-2</v>
      </c>
      <c r="AC10">
        <v>0.34446077114506468</v>
      </c>
      <c r="AD10">
        <v>1.129664107014795E-2</v>
      </c>
      <c r="AE10">
        <v>0.23696137260927061</v>
      </c>
      <c r="AF10">
        <v>2.3719725359770249E-2</v>
      </c>
      <c r="AG10">
        <v>0.36749562102859989</v>
      </c>
      <c r="AH10">
        <v>1.827013643015446E-2</v>
      </c>
      <c r="AI10">
        <v>0.17624933976367019</v>
      </c>
      <c r="AJ10">
        <v>3.2319509512357729E-2</v>
      </c>
      <c r="AK10">
        <v>0.36538746335653582</v>
      </c>
      <c r="AL10">
        <v>1.8828251997710949E-2</v>
      </c>
      <c r="AM10">
        <v>0.20300519431053679</v>
      </c>
      <c r="AN10">
        <v>3.3564475586154677E-2</v>
      </c>
    </row>
    <row r="11" spans="1:40">
      <c r="A11">
        <v>60</v>
      </c>
      <c r="B11">
        <v>4.155508428844076</v>
      </c>
      <c r="C11">
        <v>4.5479495036250821</v>
      </c>
      <c r="D11">
        <v>20.353111102793061</v>
      </c>
      <c r="E11">
        <v>0.86834560459172772</v>
      </c>
      <c r="F11">
        <v>0.87618033618629731</v>
      </c>
      <c r="G11">
        <v>3.5023675617026728</v>
      </c>
      <c r="H11">
        <v>0.16</v>
      </c>
      <c r="I11">
        <v>0.44090815370097208</v>
      </c>
      <c r="J11">
        <v>0.17419999999999999</v>
      </c>
      <c r="K11">
        <v>0.46244389930022861</v>
      </c>
      <c r="L11">
        <v>0.85829999999999995</v>
      </c>
      <c r="M11">
        <v>0.99168949607219625</v>
      </c>
      <c r="N11">
        <v>0.83862841176429614</v>
      </c>
      <c r="O11">
        <v>0.99651404038116742</v>
      </c>
      <c r="P11">
        <v>0.83253546384139732</v>
      </c>
      <c r="Q11">
        <v>0.9965928571378827</v>
      </c>
      <c r="R11">
        <v>0.85306207836353509</v>
      </c>
      <c r="S11">
        <v>0.99678803601384003</v>
      </c>
      <c r="T11">
        <v>0.84766747723483227</v>
      </c>
      <c r="U11">
        <v>0.99685814463888378</v>
      </c>
      <c r="V11">
        <v>0.37890896782406353</v>
      </c>
      <c r="W11">
        <v>0.65999999999999992</v>
      </c>
      <c r="X11">
        <v>0.34</v>
      </c>
      <c r="Y11">
        <v>0.34778737113657932</v>
      </c>
      <c r="Z11">
        <v>1.3963000088391041E-2</v>
      </c>
      <c r="AA11">
        <v>0.20085275650074191</v>
      </c>
      <c r="AB11">
        <v>2.8573388307196149E-2</v>
      </c>
      <c r="AC11">
        <v>0.34383971524980689</v>
      </c>
      <c r="AD11">
        <v>1.114147468887261E-2</v>
      </c>
      <c r="AE11">
        <v>0.24125914306410609</v>
      </c>
      <c r="AF11">
        <v>2.762103635495089E-2</v>
      </c>
      <c r="AG11">
        <v>0.36752148584868188</v>
      </c>
      <c r="AH11">
        <v>1.7678855019551049E-2</v>
      </c>
      <c r="AI11">
        <v>0.18113163735468821</v>
      </c>
      <c r="AJ11">
        <v>3.6337942530522381E-2</v>
      </c>
      <c r="AK11">
        <v>0.36464195198682342</v>
      </c>
      <c r="AL11">
        <v>1.766445558938556E-2</v>
      </c>
      <c r="AM11">
        <v>0.20817425999785269</v>
      </c>
      <c r="AN11">
        <v>3.8767975987164693E-2</v>
      </c>
    </row>
    <row r="12" spans="1:40">
      <c r="A12">
        <v>66</v>
      </c>
      <c r="B12">
        <v>4.474029080842449</v>
      </c>
      <c r="C12">
        <v>4.8719940624209146</v>
      </c>
      <c r="D12">
        <v>19.891695268315321</v>
      </c>
      <c r="E12">
        <v>1.080331438584387</v>
      </c>
      <c r="F12">
        <v>1.10767166892066</v>
      </c>
      <c r="G12">
        <v>4.3023488295111649</v>
      </c>
      <c r="H12">
        <v>0.6</v>
      </c>
      <c r="I12">
        <v>0.83666002653407545</v>
      </c>
      <c r="J12">
        <v>0.63549999999999995</v>
      </c>
      <c r="K12">
        <v>0.86973544828298222</v>
      </c>
      <c r="L12">
        <v>0.5575</v>
      </c>
      <c r="M12">
        <v>0.97215077393620863</v>
      </c>
      <c r="N12">
        <v>0.83402633317988206</v>
      </c>
      <c r="O12">
        <v>0.98875324738792592</v>
      </c>
      <c r="P12">
        <v>0.8268829273124717</v>
      </c>
      <c r="Q12">
        <v>0.98862023581371172</v>
      </c>
      <c r="R12">
        <v>0.84851555736208117</v>
      </c>
      <c r="S12">
        <v>0.98967806479085407</v>
      </c>
      <c r="T12">
        <v>0.84226926327952001</v>
      </c>
      <c r="U12">
        <v>0.9895648617546271</v>
      </c>
      <c r="V12">
        <v>0.91156988857303201</v>
      </c>
      <c r="W12">
        <v>0.37</v>
      </c>
      <c r="X12">
        <v>0.63</v>
      </c>
      <c r="Y12">
        <v>0.34675057635277989</v>
      </c>
      <c r="Z12">
        <v>1.3749193275391119E-2</v>
      </c>
      <c r="AA12">
        <v>0.19859252800866001</v>
      </c>
      <c r="AB12">
        <v>2.520297572075943E-2</v>
      </c>
      <c r="AC12">
        <v>0.3428934122983921</v>
      </c>
      <c r="AD12">
        <v>1.1168758291866931E-2</v>
      </c>
      <c r="AE12">
        <v>0.23655044718502061</v>
      </c>
      <c r="AF12">
        <v>2.180511309462985E-2</v>
      </c>
      <c r="AG12">
        <v>0.36798331425321201</v>
      </c>
      <c r="AH12">
        <v>2.049626545839019E-2</v>
      </c>
      <c r="AI12">
        <v>0.1810103178010122</v>
      </c>
      <c r="AJ12">
        <v>3.258012750327513E-2</v>
      </c>
      <c r="AK12">
        <v>0.36571427935796408</v>
      </c>
      <c r="AL12">
        <v>2.0151190169509271E-2</v>
      </c>
      <c r="AM12">
        <v>0.2066678457086952</v>
      </c>
      <c r="AN12">
        <v>3.1641893490262127E-2</v>
      </c>
    </row>
    <row r="13" spans="1:40">
      <c r="A13">
        <v>72</v>
      </c>
      <c r="B13">
        <v>4.969812760562931</v>
      </c>
      <c r="C13">
        <v>5.3651481263969902</v>
      </c>
      <c r="D13">
        <v>20.202573606480481</v>
      </c>
      <c r="E13">
        <v>0.99095686810501749</v>
      </c>
      <c r="F13">
        <v>1.0170025117809569</v>
      </c>
      <c r="G13">
        <v>3.4084413493020458</v>
      </c>
      <c r="H13">
        <v>0.62</v>
      </c>
      <c r="I13">
        <v>0.77175125526298949</v>
      </c>
      <c r="J13">
        <v>0.66810000000000003</v>
      </c>
      <c r="K13">
        <v>0.83507029045464187</v>
      </c>
      <c r="L13">
        <v>0.53310000000000002</v>
      </c>
      <c r="M13">
        <v>0.97314100229888389</v>
      </c>
      <c r="N13">
        <v>0.83362164937129057</v>
      </c>
      <c r="O13">
        <v>0.98855652509651104</v>
      </c>
      <c r="P13">
        <v>0.82659466865415998</v>
      </c>
      <c r="Q13">
        <v>0.98889689225895305</v>
      </c>
      <c r="R13">
        <v>0.84739596990370591</v>
      </c>
      <c r="S13">
        <v>0.98942393083484126</v>
      </c>
      <c r="T13">
        <v>0.84133288885957414</v>
      </c>
      <c r="U13">
        <v>0.9897769426580153</v>
      </c>
      <c r="V13">
        <v>1.020555393103417</v>
      </c>
      <c r="W13">
        <v>0.27</v>
      </c>
      <c r="X13">
        <v>0.73</v>
      </c>
      <c r="Y13">
        <v>0.34825373324642839</v>
      </c>
      <c r="Z13">
        <v>1.394432045371637E-2</v>
      </c>
      <c r="AA13">
        <v>0.2021421450151199</v>
      </c>
      <c r="AB13">
        <v>2.190819593491131E-2</v>
      </c>
      <c r="AC13">
        <v>0.34409788775165828</v>
      </c>
      <c r="AD13">
        <v>1.130625875303639E-2</v>
      </c>
      <c r="AE13">
        <v>0.2388088735904963</v>
      </c>
      <c r="AF13">
        <v>2.0773194052392571E-2</v>
      </c>
      <c r="AG13">
        <v>0.3683831572070293</v>
      </c>
      <c r="AH13">
        <v>1.938205276759173E-2</v>
      </c>
      <c r="AI13">
        <v>0.18452432448361991</v>
      </c>
      <c r="AJ13">
        <v>3.0304356791787258E-2</v>
      </c>
      <c r="AK13">
        <v>0.36590813548043682</v>
      </c>
      <c r="AL13">
        <v>1.972249655648891E-2</v>
      </c>
      <c r="AM13">
        <v>0.20951126814634111</v>
      </c>
      <c r="AN13">
        <v>3.1997581865647953E-2</v>
      </c>
    </row>
    <row r="14" spans="1:40">
      <c r="A14">
        <v>78</v>
      </c>
      <c r="B14">
        <v>5.2200088449172846</v>
      </c>
      <c r="C14">
        <v>5.6239626050314833</v>
      </c>
      <c r="D14">
        <v>19.468943534132279</v>
      </c>
      <c r="E14">
        <v>1.444388689524241</v>
      </c>
      <c r="F14">
        <v>1.497647493030972</v>
      </c>
      <c r="G14">
        <v>4.8645860243152139</v>
      </c>
      <c r="H14">
        <v>0.72</v>
      </c>
      <c r="I14">
        <v>0.96</v>
      </c>
      <c r="J14">
        <v>0.8216</v>
      </c>
      <c r="K14">
        <v>1.003181658524517</v>
      </c>
      <c r="L14">
        <v>0.48110000000000003</v>
      </c>
      <c r="M14">
        <v>0.96924719989028685</v>
      </c>
      <c r="N14">
        <v>0.83034272137809562</v>
      </c>
      <c r="O14">
        <v>0.98649492388973614</v>
      </c>
      <c r="P14">
        <v>0.82487103868685585</v>
      </c>
      <c r="Q14">
        <v>0.98729491131002667</v>
      </c>
      <c r="R14">
        <v>0.84580538941834837</v>
      </c>
      <c r="S14">
        <v>0.98787346482331773</v>
      </c>
      <c r="T14">
        <v>0.84113937968121755</v>
      </c>
      <c r="U14">
        <v>0.98867389630827507</v>
      </c>
      <c r="V14">
        <v>1.2690365751650681</v>
      </c>
      <c r="W14">
        <v>0.17</v>
      </c>
      <c r="X14">
        <v>0.83</v>
      </c>
      <c r="Y14">
        <v>0.3496648923608901</v>
      </c>
      <c r="Z14">
        <v>1.15248128501377E-2</v>
      </c>
      <c r="AA14">
        <v>0.201178282485001</v>
      </c>
      <c r="AB14">
        <v>2.822810934353167E-2</v>
      </c>
      <c r="AC14">
        <v>0.34574691769768062</v>
      </c>
      <c r="AD14">
        <v>9.4698168615434085E-3</v>
      </c>
      <c r="AE14">
        <v>0.24142015885030271</v>
      </c>
      <c r="AF14">
        <v>2.6523220471945028E-2</v>
      </c>
      <c r="AG14">
        <v>0.36985267222673479</v>
      </c>
      <c r="AH14">
        <v>2.001653009748379E-2</v>
      </c>
      <c r="AI14">
        <v>0.1821473166116086</v>
      </c>
      <c r="AJ14">
        <v>3.3845551588198339E-2</v>
      </c>
      <c r="AK14">
        <v>0.3671093620487173</v>
      </c>
      <c r="AL14">
        <v>2.0684278556388401E-2</v>
      </c>
      <c r="AM14">
        <v>0.2093723391766788</v>
      </c>
      <c r="AN14">
        <v>3.5273354231768597E-2</v>
      </c>
    </row>
    <row r="15" spans="1:40">
      <c r="A15">
        <v>84</v>
      </c>
      <c r="B15">
        <v>5.6874035269448688</v>
      </c>
      <c r="C15">
        <v>6.068200823632159</v>
      </c>
      <c r="D15">
        <v>19.957268045596368</v>
      </c>
      <c r="E15">
        <v>1.3063632499975879</v>
      </c>
      <c r="F15">
        <v>1.330966859198069</v>
      </c>
      <c r="G15">
        <v>3.9542299304715511</v>
      </c>
      <c r="H15">
        <v>0.71</v>
      </c>
      <c r="I15">
        <v>0.87515712874888951</v>
      </c>
      <c r="J15">
        <v>0.82489999999999997</v>
      </c>
      <c r="K15">
        <v>0.92652036674862137</v>
      </c>
      <c r="L15">
        <v>0.4415</v>
      </c>
      <c r="M15">
        <v>0.97126846345848283</v>
      </c>
      <c r="N15">
        <v>0.83330435878890219</v>
      </c>
      <c r="O15">
        <v>0.9877877590269265</v>
      </c>
      <c r="P15">
        <v>0.82663309092754478</v>
      </c>
      <c r="Q15">
        <v>0.98816640322622495</v>
      </c>
      <c r="R15">
        <v>0.84984741087462867</v>
      </c>
      <c r="S15">
        <v>0.98898538926741841</v>
      </c>
      <c r="T15">
        <v>0.84417021201515963</v>
      </c>
      <c r="U15">
        <v>0.98936796301047036</v>
      </c>
      <c r="V15">
        <v>1.281451169965629</v>
      </c>
      <c r="W15">
        <v>0.16</v>
      </c>
      <c r="X15">
        <v>0.84</v>
      </c>
      <c r="Y15">
        <v>0.35087747477357589</v>
      </c>
      <c r="Z15">
        <v>1.4381522987785699E-2</v>
      </c>
      <c r="AA15">
        <v>0.19453444330955441</v>
      </c>
      <c r="AB15">
        <v>2.3727532382716209E-2</v>
      </c>
      <c r="AC15">
        <v>0.34773352472718189</v>
      </c>
      <c r="AD15">
        <v>1.295240580472118E-2</v>
      </c>
      <c r="AE15">
        <v>0.2344475946241962</v>
      </c>
      <c r="AF15">
        <v>2.2455508859986279E-2</v>
      </c>
      <c r="AG15">
        <v>0.37454174899687531</v>
      </c>
      <c r="AH15">
        <v>1.845980082529633E-2</v>
      </c>
      <c r="AI15">
        <v>0.17831539033533231</v>
      </c>
      <c r="AJ15">
        <v>3.1329250730751802E-2</v>
      </c>
      <c r="AK15">
        <v>0.37278575404715042</v>
      </c>
      <c r="AL15">
        <v>1.9181677566551682E-2</v>
      </c>
      <c r="AM15">
        <v>0.20573304684437471</v>
      </c>
      <c r="AN15">
        <v>3.3768582181926583E-2</v>
      </c>
    </row>
    <row r="16" spans="1:40">
      <c r="A16">
        <v>90</v>
      </c>
      <c r="B16">
        <v>6.3393058227823049</v>
      </c>
      <c r="C16">
        <v>6.7404278689474539</v>
      </c>
      <c r="D16">
        <v>20.559837375663339</v>
      </c>
      <c r="E16">
        <v>1.296059675639391</v>
      </c>
      <c r="F16">
        <v>1.325401378019371</v>
      </c>
      <c r="G16">
        <v>3.493310537752262</v>
      </c>
      <c r="H16">
        <v>0.73</v>
      </c>
      <c r="I16">
        <v>0.78555712713971348</v>
      </c>
      <c r="J16">
        <v>0.85040000000000004</v>
      </c>
      <c r="K16">
        <v>0.81364601639779455</v>
      </c>
      <c r="L16">
        <v>0.3876</v>
      </c>
      <c r="M16">
        <v>0.97237090342525412</v>
      </c>
      <c r="N16">
        <v>0.83380357188586007</v>
      </c>
      <c r="O16">
        <v>0.98791854371176779</v>
      </c>
      <c r="P16">
        <v>0.82729320963698283</v>
      </c>
      <c r="Q16">
        <v>0.9885631110539449</v>
      </c>
      <c r="R16">
        <v>0.84876049645649987</v>
      </c>
      <c r="S16">
        <v>0.98904402375712708</v>
      </c>
      <c r="T16">
        <v>0.84315990180253719</v>
      </c>
      <c r="U16">
        <v>0.98970893539364224</v>
      </c>
      <c r="V16">
        <v>1.418118374401915</v>
      </c>
      <c r="W16">
        <v>0.11</v>
      </c>
      <c r="X16">
        <v>0.89</v>
      </c>
      <c r="Y16">
        <v>0.35377989304708302</v>
      </c>
      <c r="Z16">
        <v>1.461495926247069E-2</v>
      </c>
      <c r="AA16">
        <v>0.19536846259766069</v>
      </c>
      <c r="AB16">
        <v>2.5760493740117921E-2</v>
      </c>
      <c r="AC16">
        <v>0.34966456235689652</v>
      </c>
      <c r="AD16">
        <v>1.2309498152624389E-2</v>
      </c>
      <c r="AE16">
        <v>0.2321709450556958</v>
      </c>
      <c r="AF16">
        <v>2.2715497310754271E-2</v>
      </c>
      <c r="AG16">
        <v>0.3717204756286735</v>
      </c>
      <c r="AH16">
        <v>1.7643156989749938E-2</v>
      </c>
      <c r="AI16">
        <v>0.1765600796528474</v>
      </c>
      <c r="AJ16">
        <v>3.107313619544123E-2</v>
      </c>
      <c r="AK16">
        <v>0.36880493047638901</v>
      </c>
      <c r="AL16">
        <v>1.7735062435498251E-2</v>
      </c>
      <c r="AM16">
        <v>0.20085552206398169</v>
      </c>
      <c r="AN16">
        <v>3.1324355508729501E-2</v>
      </c>
    </row>
    <row r="17" spans="1:40">
      <c r="A17">
        <v>96</v>
      </c>
      <c r="B17">
        <v>6.5336589117713473</v>
      </c>
      <c r="C17">
        <v>6.9277490181723396</v>
      </c>
      <c r="D17">
        <v>20.13241101907764</v>
      </c>
      <c r="E17">
        <v>1.288781545947451</v>
      </c>
      <c r="F17">
        <v>1.3255527589251319</v>
      </c>
      <c r="G17">
        <v>3.4450098409924559</v>
      </c>
      <c r="H17">
        <v>0.9</v>
      </c>
      <c r="I17">
        <v>0.97467943448089644</v>
      </c>
      <c r="J17">
        <v>1.0216000000000001</v>
      </c>
      <c r="K17">
        <v>1.040833050974074</v>
      </c>
      <c r="L17">
        <v>0.3755</v>
      </c>
      <c r="M17">
        <v>0.9685321845664826</v>
      </c>
      <c r="N17">
        <v>0.83109358558835633</v>
      </c>
      <c r="O17">
        <v>0.9863572358259991</v>
      </c>
      <c r="P17">
        <v>0.82467525428098765</v>
      </c>
      <c r="Q17">
        <v>0.98697903077091054</v>
      </c>
      <c r="R17">
        <v>0.84771837239681314</v>
      </c>
      <c r="S17">
        <v>0.98791372156503254</v>
      </c>
      <c r="T17">
        <v>0.8423336390751982</v>
      </c>
      <c r="U17">
        <v>0.98857206670421549</v>
      </c>
      <c r="V17">
        <v>1.721174844383434</v>
      </c>
      <c r="W17">
        <v>6.0000000000000053E-2</v>
      </c>
      <c r="X17">
        <v>0.94</v>
      </c>
      <c r="Y17">
        <v>0.35083709982217748</v>
      </c>
      <c r="Z17">
        <v>1.129100407882323E-2</v>
      </c>
      <c r="AA17">
        <v>0.2061913123702373</v>
      </c>
      <c r="AB17">
        <v>2.4517824638157139E-2</v>
      </c>
      <c r="AC17">
        <v>0.34656174018283548</v>
      </c>
      <c r="AD17">
        <v>9.1904186097669545E-3</v>
      </c>
      <c r="AE17">
        <v>0.24456614747825209</v>
      </c>
      <c r="AF17">
        <v>2.3484681271570589E-2</v>
      </c>
      <c r="AG17">
        <v>0.3697431977228578</v>
      </c>
      <c r="AH17">
        <v>1.4938340576537101E-2</v>
      </c>
      <c r="AI17">
        <v>0.18680978233000509</v>
      </c>
      <c r="AJ17">
        <v>3.002279442077007E-2</v>
      </c>
      <c r="AK17">
        <v>0.36690870911955831</v>
      </c>
      <c r="AL17">
        <v>1.543289382124363E-2</v>
      </c>
      <c r="AM17">
        <v>0.21284330287344261</v>
      </c>
      <c r="AN17">
        <v>3.1516146670958943E-2</v>
      </c>
    </row>
    <row r="18" spans="1:40">
      <c r="A18">
        <v>102</v>
      </c>
      <c r="B18">
        <v>7.1285780571637956</v>
      </c>
      <c r="C18">
        <v>7.5030930455913403</v>
      </c>
      <c r="D18">
        <v>20.302461498174249</v>
      </c>
      <c r="E18">
        <v>1.4083317872804499</v>
      </c>
      <c r="F18">
        <v>1.4086523931826951</v>
      </c>
      <c r="G18">
        <v>3.314740436439334</v>
      </c>
      <c r="H18">
        <v>0.98</v>
      </c>
      <c r="I18">
        <v>0.98974744253268976</v>
      </c>
      <c r="J18">
        <v>1.1289</v>
      </c>
      <c r="K18">
        <v>1.0993110524323859</v>
      </c>
      <c r="L18">
        <v>0.34699999999999998</v>
      </c>
      <c r="M18">
        <v>0.9676230757360238</v>
      </c>
      <c r="N18">
        <v>0.82988001466585914</v>
      </c>
      <c r="O18">
        <v>0.98610150711935363</v>
      </c>
      <c r="P18">
        <v>0.82497990317170788</v>
      </c>
      <c r="Q18">
        <v>0.98687572328763784</v>
      </c>
      <c r="R18">
        <v>0.84488979487435723</v>
      </c>
      <c r="S18">
        <v>0.98751637234307832</v>
      </c>
      <c r="T18">
        <v>0.84064142493362359</v>
      </c>
      <c r="U18">
        <v>0.98822275453998187</v>
      </c>
      <c r="V18">
        <v>1.977973875737757</v>
      </c>
      <c r="W18">
        <v>6.0000000000000053E-2</v>
      </c>
      <c r="X18">
        <v>0.94</v>
      </c>
      <c r="Y18">
        <v>0.35144627862326783</v>
      </c>
      <c r="Z18">
        <v>9.7748283243936918E-3</v>
      </c>
      <c r="AA18">
        <v>0.1896359787493031</v>
      </c>
      <c r="AB18">
        <v>2.2103041781436301E-2</v>
      </c>
      <c r="AC18">
        <v>0.34770450941161463</v>
      </c>
      <c r="AD18">
        <v>7.1466542797533252E-3</v>
      </c>
      <c r="AE18">
        <v>0.23065617131217031</v>
      </c>
      <c r="AF18">
        <v>2.0882478933900571E-2</v>
      </c>
      <c r="AG18">
        <v>0.37076830183976478</v>
      </c>
      <c r="AH18">
        <v>1.6064470445617259E-2</v>
      </c>
      <c r="AI18">
        <v>0.16833365214181101</v>
      </c>
      <c r="AJ18">
        <v>2.7394990775191499E-2</v>
      </c>
      <c r="AK18">
        <v>0.36803824056817941</v>
      </c>
      <c r="AL18">
        <v>1.6655243720349652E-2</v>
      </c>
      <c r="AM18">
        <v>0.1949940244288898</v>
      </c>
      <c r="AN18">
        <v>2.9520176536674152E-2</v>
      </c>
    </row>
    <row r="19" spans="1:40">
      <c r="A19">
        <v>108</v>
      </c>
      <c r="B19">
        <v>7.6281783464678981</v>
      </c>
      <c r="C19">
        <v>8.0464233073105884</v>
      </c>
      <c r="D19">
        <v>20.60177318012154</v>
      </c>
      <c r="E19">
        <v>1.638977530246835</v>
      </c>
      <c r="F19">
        <v>1.638123142098409</v>
      </c>
      <c r="G19">
        <v>3.838785163814137</v>
      </c>
      <c r="H19">
        <v>0.97</v>
      </c>
      <c r="I19">
        <v>1.053138167573467</v>
      </c>
      <c r="J19">
        <v>1.0927</v>
      </c>
      <c r="K19">
        <v>1.1270788393009601</v>
      </c>
      <c r="L19">
        <v>0.37840000000000001</v>
      </c>
      <c r="M19">
        <v>0.97057853331969213</v>
      </c>
      <c r="N19">
        <v>0.83400524728811265</v>
      </c>
      <c r="O19">
        <v>0.98740620280148428</v>
      </c>
      <c r="P19">
        <v>0.82694083970132648</v>
      </c>
      <c r="Q19">
        <v>0.98781254556419584</v>
      </c>
      <c r="R19">
        <v>0.84829733409008545</v>
      </c>
      <c r="S19">
        <v>0.98855269901428133</v>
      </c>
      <c r="T19">
        <v>0.84226385262738535</v>
      </c>
      <c r="U19">
        <v>0.98895928216395623</v>
      </c>
      <c r="V19">
        <v>1.9570557328410729</v>
      </c>
      <c r="W19">
        <v>5.0000000000000037E-2</v>
      </c>
      <c r="X19">
        <v>0.95</v>
      </c>
      <c r="Y19">
        <v>0.34760878686490859</v>
      </c>
      <c r="Z19">
        <v>1.206027228326677E-2</v>
      </c>
      <c r="AA19">
        <v>0.19688220926309649</v>
      </c>
      <c r="AB19">
        <v>2.2725770349583039E-2</v>
      </c>
      <c r="AC19">
        <v>0.3445014127872047</v>
      </c>
      <c r="AD19">
        <v>9.5330010957830023E-3</v>
      </c>
      <c r="AE19">
        <v>0.2329376060623761</v>
      </c>
      <c r="AF19">
        <v>2.3597317907234849E-2</v>
      </c>
      <c r="AG19">
        <v>0.36983817606310082</v>
      </c>
      <c r="AH19">
        <v>1.7609062530595979E-2</v>
      </c>
      <c r="AI19">
        <v>0.18138958199849389</v>
      </c>
      <c r="AJ19">
        <v>2.9719158294846879E-2</v>
      </c>
      <c r="AK19">
        <v>0.36860914009579487</v>
      </c>
      <c r="AL19">
        <v>1.725338153434415E-2</v>
      </c>
      <c r="AM19">
        <v>0.2062476313084077</v>
      </c>
      <c r="AN19">
        <v>3.1714199965303683E-2</v>
      </c>
    </row>
    <row r="20" spans="1:40">
      <c r="A20">
        <v>114</v>
      </c>
      <c r="B20">
        <v>7.8573194050078348</v>
      </c>
      <c r="C20">
        <v>8.2816848494136295</v>
      </c>
      <c r="D20">
        <v>20.251272894422321</v>
      </c>
      <c r="E20">
        <v>1.666225531230066</v>
      </c>
      <c r="F20">
        <v>1.706865963289369</v>
      </c>
      <c r="G20">
        <v>3.523753927611851</v>
      </c>
      <c r="H20">
        <v>0.99</v>
      </c>
      <c r="I20">
        <v>1.1179892664958819</v>
      </c>
      <c r="J20">
        <v>1.1396999999999999</v>
      </c>
      <c r="K20">
        <v>1.2160525934350039</v>
      </c>
      <c r="L20">
        <v>0.4</v>
      </c>
      <c r="M20">
        <v>0.9705731451479922</v>
      </c>
      <c r="N20">
        <v>0.8315342280074729</v>
      </c>
      <c r="O20">
        <v>0.98717768226626779</v>
      </c>
      <c r="P20">
        <v>0.8255882211372233</v>
      </c>
      <c r="Q20">
        <v>0.98797753836386015</v>
      </c>
      <c r="R20">
        <v>0.84623018343263667</v>
      </c>
      <c r="S20">
        <v>0.98830671516250534</v>
      </c>
      <c r="T20">
        <v>0.84115852012425807</v>
      </c>
      <c r="U20">
        <v>0.98910138040453965</v>
      </c>
      <c r="V20">
        <v>2.1450946217782469</v>
      </c>
      <c r="W20">
        <v>1.0000000000000011E-2</v>
      </c>
      <c r="X20">
        <v>0.99</v>
      </c>
      <c r="Y20">
        <v>0.34979546525541771</v>
      </c>
      <c r="Z20">
        <v>1.0663792733404729E-2</v>
      </c>
      <c r="AA20">
        <v>0.19543701704841071</v>
      </c>
      <c r="AB20">
        <v>2.445711401618544E-2</v>
      </c>
      <c r="AC20">
        <v>0.34639404953358338</v>
      </c>
      <c r="AD20">
        <v>9.3964033119019984E-3</v>
      </c>
      <c r="AE20">
        <v>0.23493168670125819</v>
      </c>
      <c r="AF20">
        <v>2.26160577568396E-2</v>
      </c>
      <c r="AG20">
        <v>0.36725957855470481</v>
      </c>
      <c r="AH20">
        <v>1.7576814623356869E-2</v>
      </c>
      <c r="AI20">
        <v>0.1744469192300627</v>
      </c>
      <c r="AJ20">
        <v>3.3799511165641623E-2</v>
      </c>
      <c r="AK20">
        <v>0.36506760583983361</v>
      </c>
      <c r="AL20">
        <v>1.8311170835074591E-2</v>
      </c>
      <c r="AM20">
        <v>0.20045321185593201</v>
      </c>
      <c r="AN20">
        <v>3.685746330572371E-2</v>
      </c>
    </row>
    <row r="21" spans="1:40">
      <c r="A21">
        <v>120</v>
      </c>
      <c r="B21">
        <v>8.3896201342606336</v>
      </c>
      <c r="C21">
        <v>8.7895307480853688</v>
      </c>
      <c r="D21">
        <v>20.541360096438069</v>
      </c>
      <c r="E21">
        <v>1.4665978997160509</v>
      </c>
      <c r="F21">
        <v>1.489380643998969</v>
      </c>
      <c r="G21">
        <v>2.95139359658224</v>
      </c>
      <c r="H21">
        <v>1.06</v>
      </c>
      <c r="I21">
        <v>1.0938007131100249</v>
      </c>
      <c r="J21">
        <v>1.2534000000000001</v>
      </c>
      <c r="K21">
        <v>1.1098596487844761</v>
      </c>
      <c r="L21">
        <v>0.27279999999999999</v>
      </c>
      <c r="M21">
        <v>0.96945323995992261</v>
      </c>
      <c r="N21">
        <v>0.83045990447941198</v>
      </c>
      <c r="O21">
        <v>0.98689768298841773</v>
      </c>
      <c r="P21">
        <v>0.82460646232921864</v>
      </c>
      <c r="Q21">
        <v>0.98762896392671351</v>
      </c>
      <c r="R21">
        <v>0.84603180986386328</v>
      </c>
      <c r="S21">
        <v>0.98827625795767604</v>
      </c>
      <c r="T21">
        <v>0.84104517363930831</v>
      </c>
      <c r="U21">
        <v>0.98896545866633534</v>
      </c>
      <c r="V21">
        <v>2.2877194226660151</v>
      </c>
      <c r="W21">
        <v>2.0000000000000021E-2</v>
      </c>
      <c r="X21">
        <v>0.98</v>
      </c>
      <c r="Y21">
        <v>0.35201036507065647</v>
      </c>
      <c r="Z21">
        <v>1.3063322803454741E-2</v>
      </c>
      <c r="AA21">
        <v>0.19892776078107091</v>
      </c>
      <c r="AB21">
        <v>2.425766865219119E-2</v>
      </c>
      <c r="AC21">
        <v>0.34765778643749479</v>
      </c>
      <c r="AD21">
        <v>1.0895360518096441E-2</v>
      </c>
      <c r="AE21">
        <v>0.23809361417027841</v>
      </c>
      <c r="AF21">
        <v>2.4059558073587169E-2</v>
      </c>
      <c r="AG21">
        <v>0.37172702954489723</v>
      </c>
      <c r="AH21">
        <v>1.901302097814879E-2</v>
      </c>
      <c r="AI21">
        <v>0.18048145788899281</v>
      </c>
      <c r="AJ21">
        <v>3.3371079173620477E-2</v>
      </c>
      <c r="AK21">
        <v>0.36867950297807522</v>
      </c>
      <c r="AL21">
        <v>1.9508379863033672E-2</v>
      </c>
      <c r="AM21">
        <v>0.20709782941954291</v>
      </c>
      <c r="AN21">
        <v>3.8029666768643958E-2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D4CA-A485-4E78-ACF1-081FB25CED47}">
  <dimension ref="A1:AN21"/>
  <sheetViews>
    <sheetView workbookViewId="0">
      <selection activeCell="AF16" sqref="AF16"/>
    </sheetView>
  </sheetViews>
  <sheetFormatPr defaultRowHeight="14.1"/>
  <cols>
    <col min="1" max="1" width="4.5" bestFit="1" customWidth="1"/>
    <col min="2" max="2" width="12.44921875" bestFit="1" customWidth="1"/>
    <col min="3" max="3" width="13.34765625" bestFit="1" customWidth="1"/>
    <col min="4" max="4" width="13.59765625" bestFit="1" customWidth="1"/>
    <col min="5" max="5" width="21.09765625" bestFit="1" customWidth="1"/>
    <col min="6" max="6" width="22.046875" bestFit="1" customWidth="1"/>
    <col min="7" max="7" width="22.25" bestFit="1" customWidth="1"/>
    <col min="8" max="8" width="31.44921875" bestFit="1" customWidth="1"/>
    <col min="9" max="9" width="29.19921875" bestFit="1" customWidth="1"/>
    <col min="10" max="10" width="26.84765625" bestFit="1" customWidth="1"/>
    <col min="11" max="11" width="24.59765625" bestFit="1" customWidth="1"/>
    <col min="12" max="12" width="40.6484375" bestFit="1" customWidth="1"/>
    <col min="13" max="13" width="34.046875" bestFit="1" customWidth="1"/>
    <col min="14" max="14" width="28.59765625" bestFit="1" customWidth="1"/>
    <col min="15" max="15" width="36.84765625" bestFit="1" customWidth="1"/>
    <col min="16" max="16" width="27.046875" bestFit="1" customWidth="1"/>
    <col min="17" max="17" width="35.296875" bestFit="1" customWidth="1"/>
    <col min="18" max="18" width="26.546875" bestFit="1" customWidth="1"/>
    <col min="19" max="19" width="34.796875" bestFit="1" customWidth="1"/>
    <col min="20" max="20" width="28.09765625" bestFit="1" customWidth="1"/>
    <col min="21" max="21" width="36.34765625" bestFit="1" customWidth="1"/>
    <col min="22" max="22" width="13.6484375" bestFit="1" customWidth="1"/>
    <col min="23" max="23" width="33.1484375" bestFit="1" customWidth="1"/>
    <col min="24" max="24" width="31.75" bestFit="1" customWidth="1"/>
    <col min="25" max="25" width="30.546875" bestFit="1" customWidth="1"/>
    <col min="26" max="26" width="28.296875" bestFit="1" customWidth="1"/>
    <col min="27" max="27" width="31.1484375" bestFit="1" customWidth="1"/>
    <col min="28" max="28" width="28.8984375" bestFit="1" customWidth="1"/>
    <col min="29" max="29" width="29" bestFit="1" customWidth="1"/>
    <col min="30" max="30" width="26.75" bestFit="1" customWidth="1"/>
    <col min="31" max="31" width="29.59765625" bestFit="1" customWidth="1"/>
    <col min="32" max="32" width="27.34765625" bestFit="1" customWidth="1"/>
    <col min="33" max="33" width="28.5" bestFit="1" customWidth="1"/>
    <col min="34" max="34" width="26.25" bestFit="1" customWidth="1"/>
    <col min="35" max="35" width="29.1484375" bestFit="1" customWidth="1"/>
    <col min="36" max="36" width="26.8984375" bestFit="1" customWidth="1"/>
    <col min="37" max="37" width="30" bestFit="1" customWidth="1"/>
    <col min="38" max="38" width="27.796875" bestFit="1" customWidth="1"/>
    <col min="39" max="39" width="30.6484375" bestFit="1" customWidth="1"/>
    <col min="40" max="40" width="28.3984375" bestFit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6</v>
      </c>
      <c r="B2">
        <v>0.31926190476190469</v>
      </c>
      <c r="C2">
        <v>0.42356752608639447</v>
      </c>
      <c r="D2">
        <v>14.382539682539679</v>
      </c>
      <c r="E2">
        <v>0.36225720542153278</v>
      </c>
      <c r="F2">
        <v>0.4689350431078651</v>
      </c>
      <c r="G2">
        <v>16.100118738108868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0.94123809523809521</v>
      </c>
      <c r="O2">
        <v>1</v>
      </c>
      <c r="P2">
        <v>0.93766666666666676</v>
      </c>
      <c r="Q2">
        <v>1</v>
      </c>
      <c r="R2">
        <v>0.94123809523809521</v>
      </c>
      <c r="S2">
        <v>1</v>
      </c>
      <c r="T2">
        <v>0.93766666666666676</v>
      </c>
      <c r="U2">
        <v>1</v>
      </c>
      <c r="V2">
        <v>0</v>
      </c>
      <c r="W2">
        <v>1</v>
      </c>
      <c r="X2">
        <v>0</v>
      </c>
      <c r="Y2">
        <v>0.38390224479339019</v>
      </c>
      <c r="Z2">
        <v>9.9143742185398911E-2</v>
      </c>
      <c r="AA2">
        <v>0.14268707080920431</v>
      </c>
      <c r="AB2">
        <v>0.1232801281708136</v>
      </c>
      <c r="AC2">
        <v>0.38571654355018892</v>
      </c>
      <c r="AD2">
        <v>0.1048234950374317</v>
      </c>
      <c r="AE2">
        <v>0.15239262804495191</v>
      </c>
      <c r="AF2">
        <v>0.12466867749319389</v>
      </c>
      <c r="AG2">
        <v>0.39084197062311599</v>
      </c>
      <c r="AH2">
        <v>9.2964818949130695E-2</v>
      </c>
      <c r="AI2">
        <v>0.13192776240211429</v>
      </c>
      <c r="AJ2">
        <v>0.12483204650470479</v>
      </c>
      <c r="AK2">
        <v>0.39265626937991471</v>
      </c>
      <c r="AL2">
        <v>9.8872440991873312E-2</v>
      </c>
      <c r="AM2">
        <v>0.13406644509476029</v>
      </c>
      <c r="AN2">
        <v>0.1260255014873157</v>
      </c>
    </row>
    <row r="3" spans="1:40">
      <c r="A3">
        <v>12</v>
      </c>
      <c r="B3">
        <v>0.65319841269841261</v>
      </c>
      <c r="C3">
        <v>0.8254080039184285</v>
      </c>
      <c r="D3">
        <v>16.329960317460319</v>
      </c>
      <c r="E3">
        <v>0.53724301226987048</v>
      </c>
      <c r="F3">
        <v>0.66672264652166713</v>
      </c>
      <c r="G3">
        <v>13.431075306746759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0.81713235294117648</v>
      </c>
      <c r="O3">
        <v>1</v>
      </c>
      <c r="P3">
        <v>0.8125</v>
      </c>
      <c r="Q3">
        <v>1</v>
      </c>
      <c r="R3">
        <v>0.81713235294117648</v>
      </c>
      <c r="S3">
        <v>1</v>
      </c>
      <c r="T3">
        <v>0.8125</v>
      </c>
      <c r="U3">
        <v>1</v>
      </c>
      <c r="V3">
        <v>0</v>
      </c>
      <c r="W3">
        <v>1</v>
      </c>
      <c r="X3">
        <v>0</v>
      </c>
      <c r="Y3">
        <v>0.33069295031505869</v>
      </c>
      <c r="Z3">
        <v>2.0882197335509861E-2</v>
      </c>
      <c r="AA3">
        <v>0.3260280754716981</v>
      </c>
      <c r="AB3">
        <v>2.025595488880004E-2</v>
      </c>
      <c r="AC3">
        <v>0.32759940733283299</v>
      </c>
      <c r="AD3">
        <v>1.6583648421230921E-2</v>
      </c>
      <c r="AE3">
        <v>0.36050525783619819</v>
      </c>
      <c r="AF3">
        <v>5.9629605304441814E-3</v>
      </c>
      <c r="AG3">
        <v>0.33069295031505869</v>
      </c>
      <c r="AH3">
        <v>2.0882197335509861E-2</v>
      </c>
      <c r="AI3">
        <v>0.29759441269841269</v>
      </c>
      <c r="AJ3">
        <v>4.4410990976902508E-2</v>
      </c>
      <c r="AK3">
        <v>0.32759940733283299</v>
      </c>
      <c r="AL3">
        <v>1.6583648421230921E-2</v>
      </c>
      <c r="AM3">
        <v>0.32364966777408632</v>
      </c>
      <c r="AN3">
        <v>3.6905063161612607E-2</v>
      </c>
    </row>
    <row r="4" spans="1:40">
      <c r="A4">
        <v>18</v>
      </c>
      <c r="B4">
        <v>1.0500884532134529</v>
      </c>
      <c r="C4">
        <v>1.2863464732502661</v>
      </c>
      <c r="D4">
        <v>17.501474220224221</v>
      </c>
      <c r="E4">
        <v>0.61648984065035561</v>
      </c>
      <c r="F4">
        <v>0.74039111927268564</v>
      </c>
      <c r="G4">
        <v>10.274830677505919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0.82401185770750984</v>
      </c>
      <c r="O4">
        <v>1</v>
      </c>
      <c r="P4">
        <v>0.81818181818181823</v>
      </c>
      <c r="Q4">
        <v>1</v>
      </c>
      <c r="R4">
        <v>0.83077549407114626</v>
      </c>
      <c r="S4">
        <v>1</v>
      </c>
      <c r="T4">
        <v>0.82494545454545465</v>
      </c>
      <c r="U4">
        <v>1</v>
      </c>
      <c r="V4">
        <v>0</v>
      </c>
      <c r="W4">
        <v>1</v>
      </c>
      <c r="X4">
        <v>0</v>
      </c>
      <c r="Y4">
        <v>0.33643048721130142</v>
      </c>
      <c r="Z4">
        <v>1.9923945220248981E-2</v>
      </c>
      <c r="AA4">
        <v>0.2822951400952648</v>
      </c>
      <c r="AB4">
        <v>2.074322046721485E-2</v>
      </c>
      <c r="AC4">
        <v>0.33323499536900542</v>
      </c>
      <c r="AD4">
        <v>1.4613825482303699E-2</v>
      </c>
      <c r="AE4">
        <v>0.31949672266139661</v>
      </c>
      <c r="AF4">
        <v>5.1387144564264244E-3</v>
      </c>
      <c r="AG4">
        <v>0.34582917025358362</v>
      </c>
      <c r="AH4">
        <v>2.236993340251367E-2</v>
      </c>
      <c r="AI4">
        <v>0.26013280089028917</v>
      </c>
      <c r="AJ4">
        <v>3.502856303031758E-2</v>
      </c>
      <c r="AK4">
        <v>0.34263367841128761</v>
      </c>
      <c r="AL4">
        <v>1.9418574934853439E-2</v>
      </c>
      <c r="AM4">
        <v>0.28771044011941099</v>
      </c>
      <c r="AN4">
        <v>2.7488381791855501E-2</v>
      </c>
    </row>
    <row r="5" spans="1:40">
      <c r="A5">
        <v>24</v>
      </c>
      <c r="B5">
        <v>1.5124757339236281</v>
      </c>
      <c r="C5">
        <v>1.801383156480705</v>
      </c>
      <c r="D5">
        <v>18.624335923387751</v>
      </c>
      <c r="E5">
        <v>0.82905873692032406</v>
      </c>
      <c r="F5">
        <v>0.94728711840075819</v>
      </c>
      <c r="G5">
        <v>10.11015307943681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0.82349320064763687</v>
      </c>
      <c r="O5">
        <v>1</v>
      </c>
      <c r="P5">
        <v>0.81762175324675312</v>
      </c>
      <c r="Q5">
        <v>1</v>
      </c>
      <c r="R5">
        <v>0.82730773664000934</v>
      </c>
      <c r="S5">
        <v>1</v>
      </c>
      <c r="T5">
        <v>0.82154802052785925</v>
      </c>
      <c r="U5">
        <v>1</v>
      </c>
      <c r="V5">
        <v>0</v>
      </c>
      <c r="W5">
        <v>1</v>
      </c>
      <c r="X5">
        <v>0</v>
      </c>
      <c r="Y5">
        <v>0.33521799324060858</v>
      </c>
      <c r="Z5">
        <v>1.6558336036647109E-2</v>
      </c>
      <c r="AA5">
        <v>0.2887862972282122</v>
      </c>
      <c r="AB5">
        <v>3.4931040379306832E-2</v>
      </c>
      <c r="AC5">
        <v>0.3323777070609637</v>
      </c>
      <c r="AD5">
        <v>1.288166947932138E-2</v>
      </c>
      <c r="AE5">
        <v>0.3251912668421903</v>
      </c>
      <c r="AF5">
        <v>2.8787375950561672E-2</v>
      </c>
      <c r="AG5">
        <v>0.34016102456598341</v>
      </c>
      <c r="AH5">
        <v>1.881500284918217E-2</v>
      </c>
      <c r="AI5">
        <v>0.26243370618082579</v>
      </c>
      <c r="AJ5">
        <v>4.4866083044513887E-2</v>
      </c>
      <c r="AK5">
        <v>0.33749924199560277</v>
      </c>
      <c r="AL5">
        <v>1.625065887977948E-2</v>
      </c>
      <c r="AM5">
        <v>0.28895640725252397</v>
      </c>
      <c r="AN5">
        <v>4.0275199887697261E-2</v>
      </c>
    </row>
    <row r="6" spans="1:40">
      <c r="A6">
        <v>30</v>
      </c>
      <c r="B6">
        <v>1.9881277995478861</v>
      </c>
      <c r="C6">
        <v>2.334329508389521</v>
      </c>
      <c r="D6">
        <v>19.708259620045169</v>
      </c>
      <c r="E6">
        <v>0.78118019953167195</v>
      </c>
      <c r="F6">
        <v>0.87429369348483077</v>
      </c>
      <c r="G6">
        <v>7.5751973713025924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0.82426772432203965</v>
      </c>
      <c r="O6">
        <v>1</v>
      </c>
      <c r="P6">
        <v>0.81878387254620266</v>
      </c>
      <c r="Q6">
        <v>1</v>
      </c>
      <c r="R6">
        <v>0.83088112243026513</v>
      </c>
      <c r="S6">
        <v>1</v>
      </c>
      <c r="T6">
        <v>0.82548495752328233</v>
      </c>
      <c r="U6">
        <v>1</v>
      </c>
      <c r="V6">
        <v>0</v>
      </c>
      <c r="W6">
        <v>1</v>
      </c>
      <c r="X6">
        <v>0</v>
      </c>
      <c r="Y6">
        <v>0.33932332792444903</v>
      </c>
      <c r="Z6">
        <v>1.499920077754642E-2</v>
      </c>
      <c r="AA6">
        <v>0.28073309637181548</v>
      </c>
      <c r="AB6">
        <v>3.6825736976921208E-2</v>
      </c>
      <c r="AC6">
        <v>0.33626430961349008</v>
      </c>
      <c r="AD6">
        <v>1.219125339489455E-2</v>
      </c>
      <c r="AE6">
        <v>0.31857198833052253</v>
      </c>
      <c r="AF6">
        <v>3.208135380578906E-2</v>
      </c>
      <c r="AG6">
        <v>0.34797133688594017</v>
      </c>
      <c r="AH6">
        <v>1.9370714532026299E-2</v>
      </c>
      <c r="AI6">
        <v>0.25666249646961747</v>
      </c>
      <c r="AJ6">
        <v>4.5039727294758518E-2</v>
      </c>
      <c r="AK6">
        <v>0.34503508368826269</v>
      </c>
      <c r="AL6">
        <v>1.8577299131370191E-2</v>
      </c>
      <c r="AM6">
        <v>0.2844445133815679</v>
      </c>
      <c r="AN6">
        <v>4.2749187224769322E-2</v>
      </c>
    </row>
    <row r="7" spans="1:40">
      <c r="A7">
        <v>36</v>
      </c>
      <c r="B7">
        <v>2.5869531623363771</v>
      </c>
      <c r="C7">
        <v>2.960322468948386</v>
      </c>
      <c r="D7">
        <v>21.13287642493021</v>
      </c>
      <c r="E7">
        <v>0.77818715559533358</v>
      </c>
      <c r="F7">
        <v>0.85549585465143207</v>
      </c>
      <c r="G7">
        <v>6.2209037527991038</v>
      </c>
      <c r="H7">
        <v>0.02</v>
      </c>
      <c r="I7">
        <v>0.198997487421324</v>
      </c>
      <c r="J7">
        <v>0.02</v>
      </c>
      <c r="K7">
        <v>0.198997487421324</v>
      </c>
      <c r="L7">
        <v>0.99</v>
      </c>
      <c r="M7">
        <v>0.99846153846153851</v>
      </c>
      <c r="N7">
        <v>0.8207965854240471</v>
      </c>
      <c r="O7">
        <v>0.99947368421052629</v>
      </c>
      <c r="P7">
        <v>0.81698345597721889</v>
      </c>
      <c r="Q7">
        <v>0.99945945945945946</v>
      </c>
      <c r="R7">
        <v>0.82686251942414069</v>
      </c>
      <c r="S7">
        <v>0.99947368421052629</v>
      </c>
      <c r="T7">
        <v>0.8231476517573294</v>
      </c>
      <c r="U7">
        <v>0.99945945945945946</v>
      </c>
      <c r="V7">
        <v>7.1748418051491319E-2</v>
      </c>
      <c r="W7">
        <v>0.95</v>
      </c>
      <c r="X7">
        <v>0.05</v>
      </c>
      <c r="Y7">
        <v>0.33514395883287079</v>
      </c>
      <c r="Z7">
        <v>1.224265700982507E-2</v>
      </c>
      <c r="AA7">
        <v>0.28226979985067979</v>
      </c>
      <c r="AB7">
        <v>2.9518041325181928E-2</v>
      </c>
      <c r="AC7">
        <v>0.33330595360406728</v>
      </c>
      <c r="AD7">
        <v>1.036787586247697E-2</v>
      </c>
      <c r="AE7">
        <v>0.3237335820537372</v>
      </c>
      <c r="AF7">
        <v>2.2948959624007659E-2</v>
      </c>
      <c r="AG7">
        <v>0.34342615736240839</v>
      </c>
      <c r="AH7">
        <v>1.474128863103159E-2</v>
      </c>
      <c r="AI7">
        <v>0.25364376066253269</v>
      </c>
      <c r="AJ7">
        <v>4.1703042269747109E-2</v>
      </c>
      <c r="AK7">
        <v>0.34172841202893273</v>
      </c>
      <c r="AL7">
        <v>1.405524270362609E-2</v>
      </c>
      <c r="AM7">
        <v>0.28354502878887011</v>
      </c>
      <c r="AN7">
        <v>3.9426574442552632E-2</v>
      </c>
    </row>
    <row r="8" spans="1:40">
      <c r="A8">
        <v>42</v>
      </c>
      <c r="B8">
        <v>2.8497711256660732</v>
      </c>
      <c r="C8">
        <v>3.2002856793003831</v>
      </c>
      <c r="D8">
        <v>20.078473057138289</v>
      </c>
      <c r="E8">
        <v>0.86115533929900379</v>
      </c>
      <c r="F8">
        <v>0.90917220382978681</v>
      </c>
      <c r="G8">
        <v>5.7458107404315459</v>
      </c>
      <c r="H8">
        <v>7.0000000000000007E-2</v>
      </c>
      <c r="I8">
        <v>0.25514701644346138</v>
      </c>
      <c r="J8">
        <v>7.8E-2</v>
      </c>
      <c r="K8">
        <v>0.29650632370996738</v>
      </c>
      <c r="L8">
        <v>0.93</v>
      </c>
      <c r="M8">
        <v>0.99464428571428576</v>
      </c>
      <c r="N8">
        <v>0.81980514299043683</v>
      </c>
      <c r="O8">
        <v>0.99822724586288425</v>
      </c>
      <c r="P8">
        <v>0.81616643454187998</v>
      </c>
      <c r="Q8">
        <v>0.99824018232963485</v>
      </c>
      <c r="R8">
        <v>0.82758243160593503</v>
      </c>
      <c r="S8">
        <v>0.99828017055048968</v>
      </c>
      <c r="T8">
        <v>0.82414728379384106</v>
      </c>
      <c r="U8">
        <v>0.99829310701724039</v>
      </c>
      <c r="V8">
        <v>9.0376573098915211E-2</v>
      </c>
      <c r="W8">
        <v>0.9</v>
      </c>
      <c r="X8">
        <v>0.1</v>
      </c>
      <c r="Y8">
        <v>0.34052625474842307</v>
      </c>
      <c r="Z8">
        <v>1.2066734587020849E-2</v>
      </c>
      <c r="AA8">
        <v>0.28238432903766442</v>
      </c>
      <c r="AB8">
        <v>3.5522622307114088E-2</v>
      </c>
      <c r="AC8">
        <v>0.33833540839296528</v>
      </c>
      <c r="AD8">
        <v>9.9089427173393984E-3</v>
      </c>
      <c r="AE8">
        <v>0.32411945074847542</v>
      </c>
      <c r="AF8">
        <v>2.985607514374309E-2</v>
      </c>
      <c r="AG8">
        <v>0.35036958292354697</v>
      </c>
      <c r="AH8">
        <v>1.6399660465684082E-2</v>
      </c>
      <c r="AI8">
        <v>0.25590490731653193</v>
      </c>
      <c r="AJ8">
        <v>4.2857844963353778E-2</v>
      </c>
      <c r="AK8">
        <v>0.34847745628720228</v>
      </c>
      <c r="AL8">
        <v>1.556598463738927E-2</v>
      </c>
      <c r="AM8">
        <v>0.2866067746985515</v>
      </c>
      <c r="AN8">
        <v>4.0908190190060569E-2</v>
      </c>
    </row>
    <row r="9" spans="1:40">
      <c r="A9">
        <v>48</v>
      </c>
      <c r="B9">
        <v>3.274752707066416</v>
      </c>
      <c r="C9">
        <v>3.6453614970539081</v>
      </c>
      <c r="D9">
        <v>20.292967015754481</v>
      </c>
      <c r="E9">
        <v>0.93435121107012209</v>
      </c>
      <c r="F9">
        <v>0.99988254906096496</v>
      </c>
      <c r="G9">
        <v>5.5240484678721531</v>
      </c>
      <c r="H9">
        <v>0.13</v>
      </c>
      <c r="I9">
        <v>0.39127995093027701</v>
      </c>
      <c r="J9">
        <v>0.13</v>
      </c>
      <c r="K9">
        <v>0.39127995093027712</v>
      </c>
      <c r="L9">
        <v>0.89</v>
      </c>
      <c r="M9">
        <v>0.99216911764705873</v>
      </c>
      <c r="N9">
        <v>0.81911420503988919</v>
      </c>
      <c r="O9">
        <v>0.99758967870567561</v>
      </c>
      <c r="P9">
        <v>0.81513053371245692</v>
      </c>
      <c r="Q9">
        <v>0.99748563592156114</v>
      </c>
      <c r="R9">
        <v>0.82765488580123969</v>
      </c>
      <c r="S9">
        <v>0.99758967870567561</v>
      </c>
      <c r="T9">
        <v>0.82384842547211867</v>
      </c>
      <c r="U9">
        <v>0.99748563592156114</v>
      </c>
      <c r="V9">
        <v>0.1762122753570258</v>
      </c>
      <c r="W9">
        <v>0.83</v>
      </c>
      <c r="X9">
        <v>0.17</v>
      </c>
      <c r="Y9">
        <v>0.34050380022638388</v>
      </c>
      <c r="Z9">
        <v>1.202303519087335E-2</v>
      </c>
      <c r="AA9">
        <v>0.28352433349952</v>
      </c>
      <c r="AB9">
        <v>3.2486167459299033E-2</v>
      </c>
      <c r="AC9">
        <v>0.33809130291107969</v>
      </c>
      <c r="AD9">
        <v>1.0326030623192459E-2</v>
      </c>
      <c r="AE9">
        <v>0.32507432796904112</v>
      </c>
      <c r="AF9">
        <v>2.824167958773223E-2</v>
      </c>
      <c r="AG9">
        <v>0.35266640452726888</v>
      </c>
      <c r="AH9">
        <v>1.5907469968390028E-2</v>
      </c>
      <c r="AI9">
        <v>0.25973402670619122</v>
      </c>
      <c r="AJ9">
        <v>4.0300560935701051E-2</v>
      </c>
      <c r="AK9">
        <v>0.35048366417917509</v>
      </c>
      <c r="AL9">
        <v>1.627480042038933E-2</v>
      </c>
      <c r="AM9">
        <v>0.29087218350314359</v>
      </c>
      <c r="AN9">
        <v>3.9597261099240798E-2</v>
      </c>
    </row>
    <row r="10" spans="1:40">
      <c r="A10">
        <v>54</v>
      </c>
      <c r="B10">
        <v>3.8639601923819451</v>
      </c>
      <c r="C10">
        <v>4.2323379865620669</v>
      </c>
      <c r="D10">
        <v>21.096609755571649</v>
      </c>
      <c r="E10">
        <v>1.0283512653959259</v>
      </c>
      <c r="F10">
        <v>1.109347752310067</v>
      </c>
      <c r="G10">
        <v>5.3235668227364972</v>
      </c>
      <c r="H10">
        <v>0.25</v>
      </c>
      <c r="I10">
        <v>0.55452682532047082</v>
      </c>
      <c r="J10">
        <v>0.2666</v>
      </c>
      <c r="K10">
        <v>0.57456456556247881</v>
      </c>
      <c r="L10">
        <v>0.80069999999999997</v>
      </c>
      <c r="M10">
        <v>0.98562807017543852</v>
      </c>
      <c r="N10">
        <v>0.81835818040951003</v>
      </c>
      <c r="O10">
        <v>0.99528270709887345</v>
      </c>
      <c r="P10">
        <v>0.81390404231738644</v>
      </c>
      <c r="Q10">
        <v>0.99530886060873602</v>
      </c>
      <c r="R10">
        <v>0.82444643933621753</v>
      </c>
      <c r="S10">
        <v>0.99539271934799745</v>
      </c>
      <c r="T10">
        <v>0.82014223168427247</v>
      </c>
      <c r="U10">
        <v>0.99541770239666039</v>
      </c>
      <c r="V10">
        <v>0.46657499853401102</v>
      </c>
      <c r="W10">
        <v>0.59000000000000008</v>
      </c>
      <c r="X10">
        <v>0.41</v>
      </c>
      <c r="Y10">
        <v>0.33991585741950969</v>
      </c>
      <c r="Z10">
        <v>1.0466799025957161E-2</v>
      </c>
      <c r="AA10">
        <v>0.28341634238620322</v>
      </c>
      <c r="AB10">
        <v>3.3880782028596297E-2</v>
      </c>
      <c r="AC10">
        <v>0.33730598106977339</v>
      </c>
      <c r="AD10">
        <v>8.014025025630955E-3</v>
      </c>
      <c r="AE10">
        <v>0.32277425527331383</v>
      </c>
      <c r="AF10">
        <v>2.7899992005585579E-2</v>
      </c>
      <c r="AG10">
        <v>0.34813371806976739</v>
      </c>
      <c r="AH10">
        <v>1.4458874237522359E-2</v>
      </c>
      <c r="AI10">
        <v>0.25764148571246581</v>
      </c>
      <c r="AJ10">
        <v>4.3772335383071452E-2</v>
      </c>
      <c r="AK10">
        <v>0.34576923058650788</v>
      </c>
      <c r="AL10">
        <v>1.374035814738251E-2</v>
      </c>
      <c r="AM10">
        <v>0.28653321505639051</v>
      </c>
      <c r="AN10">
        <v>4.1537692688920408E-2</v>
      </c>
    </row>
    <row r="11" spans="1:40">
      <c r="A11">
        <v>60</v>
      </c>
      <c r="B11">
        <v>4.2814521489844761</v>
      </c>
      <c r="C11">
        <v>4.6780589003843263</v>
      </c>
      <c r="D11">
        <v>21.098280395612178</v>
      </c>
      <c r="E11">
        <v>0.85659371215929281</v>
      </c>
      <c r="F11">
        <v>0.88408332938032019</v>
      </c>
      <c r="G11">
        <v>3.826893321939973</v>
      </c>
      <c r="H11">
        <v>0.41</v>
      </c>
      <c r="I11">
        <v>0.73613857391118975</v>
      </c>
      <c r="J11">
        <v>0.45529999999999998</v>
      </c>
      <c r="K11">
        <v>0.80312010932363054</v>
      </c>
      <c r="L11">
        <v>0.69269999999999998</v>
      </c>
      <c r="M11">
        <v>0.97777533378901804</v>
      </c>
      <c r="N11">
        <v>0.81485657110434573</v>
      </c>
      <c r="O11">
        <v>0.99173557959523673</v>
      </c>
      <c r="P11">
        <v>0.81139862068451418</v>
      </c>
      <c r="Q11">
        <v>0.99256611282393603</v>
      </c>
      <c r="R11">
        <v>0.8219925628585053</v>
      </c>
      <c r="S11">
        <v>0.99204589713138758</v>
      </c>
      <c r="T11">
        <v>0.81870039374038228</v>
      </c>
      <c r="U11">
        <v>0.99286914054119846</v>
      </c>
      <c r="V11">
        <v>0.72520836119469945</v>
      </c>
      <c r="W11">
        <v>0.47</v>
      </c>
      <c r="X11">
        <v>0.53</v>
      </c>
      <c r="Y11">
        <v>0.34000570290715548</v>
      </c>
      <c r="Z11">
        <v>1.038526061492653E-2</v>
      </c>
      <c r="AA11">
        <v>0.28623881286209968</v>
      </c>
      <c r="AB11">
        <v>3.497459335234071E-2</v>
      </c>
      <c r="AC11">
        <v>0.33722939921679579</v>
      </c>
      <c r="AD11">
        <v>7.9470453582197263E-3</v>
      </c>
      <c r="AE11">
        <v>0.32643014316836161</v>
      </c>
      <c r="AF11">
        <v>3.0139898360086931E-2</v>
      </c>
      <c r="AG11">
        <v>0.34924832283388108</v>
      </c>
      <c r="AH11">
        <v>1.391400241647117E-2</v>
      </c>
      <c r="AI11">
        <v>0.26010588533670442</v>
      </c>
      <c r="AJ11">
        <v>4.117994193385157E-2</v>
      </c>
      <c r="AK11">
        <v>0.34673847773629729</v>
      </c>
      <c r="AL11">
        <v>1.3314300069484711E-2</v>
      </c>
      <c r="AM11">
        <v>0.28980188445835048</v>
      </c>
      <c r="AN11">
        <v>3.9639986961398498E-2</v>
      </c>
    </row>
    <row r="12" spans="1:40">
      <c r="A12">
        <v>66</v>
      </c>
      <c r="B12">
        <v>4.8462142523737812</v>
      </c>
      <c r="C12">
        <v>5.2510107477997154</v>
      </c>
      <c r="D12">
        <v>21.751523111160949</v>
      </c>
      <c r="E12">
        <v>0.90995552654435385</v>
      </c>
      <c r="F12">
        <v>0.91221754816401868</v>
      </c>
      <c r="G12">
        <v>3.5501569911670772</v>
      </c>
      <c r="H12">
        <v>0.65</v>
      </c>
      <c r="I12">
        <v>0.8046738469715542</v>
      </c>
      <c r="J12">
        <v>0.67730000000000001</v>
      </c>
      <c r="K12">
        <v>0.83580183656175344</v>
      </c>
      <c r="L12">
        <v>0.52759999999999996</v>
      </c>
      <c r="M12">
        <v>0.96971765245623942</v>
      </c>
      <c r="N12">
        <v>0.8142283642100081</v>
      </c>
      <c r="O12">
        <v>0.98975384995566706</v>
      </c>
      <c r="P12">
        <v>0.81011000868965444</v>
      </c>
      <c r="Q12">
        <v>0.99002616502745056</v>
      </c>
      <c r="R12">
        <v>0.8236947500571401</v>
      </c>
      <c r="S12">
        <v>0.99022204431379579</v>
      </c>
      <c r="T12">
        <v>0.81984653304498856</v>
      </c>
      <c r="U12">
        <v>0.99050049625443204</v>
      </c>
      <c r="V12">
        <v>1.061854995437407</v>
      </c>
      <c r="W12">
        <v>0.28000000000000003</v>
      </c>
      <c r="X12">
        <v>0.72</v>
      </c>
      <c r="Y12">
        <v>0.34288045589910932</v>
      </c>
      <c r="Z12">
        <v>1.032518608827524E-2</v>
      </c>
      <c r="AA12">
        <v>0.27608065837627221</v>
      </c>
      <c r="AB12">
        <v>2.961223165253991E-2</v>
      </c>
      <c r="AC12">
        <v>0.33939959521767071</v>
      </c>
      <c r="AD12">
        <v>8.1114255058889195E-3</v>
      </c>
      <c r="AE12">
        <v>0.31606358795001149</v>
      </c>
      <c r="AF12">
        <v>2.4725097220044671E-2</v>
      </c>
      <c r="AG12">
        <v>0.35614500426184631</v>
      </c>
      <c r="AH12">
        <v>1.485337123874461E-2</v>
      </c>
      <c r="AI12">
        <v>0.25637119114830081</v>
      </c>
      <c r="AJ12">
        <v>3.7162280254515151E-2</v>
      </c>
      <c r="AK12">
        <v>0.35323549572961488</v>
      </c>
      <c r="AL12">
        <v>1.505111450498055E-2</v>
      </c>
      <c r="AM12">
        <v>0.28688423201659091</v>
      </c>
      <c r="AN12">
        <v>3.6346516321250508E-2</v>
      </c>
    </row>
    <row r="13" spans="1:40">
      <c r="A13">
        <v>72</v>
      </c>
      <c r="B13">
        <v>5.4179691073822243</v>
      </c>
      <c r="C13">
        <v>5.8127853817114206</v>
      </c>
      <c r="D13">
        <v>22.27086091252545</v>
      </c>
      <c r="E13">
        <v>0.79264488868338223</v>
      </c>
      <c r="F13">
        <v>0.81314100048140547</v>
      </c>
      <c r="G13">
        <v>2.912287315323201</v>
      </c>
      <c r="H13">
        <v>0.73</v>
      </c>
      <c r="I13">
        <v>0.97831487773620207</v>
      </c>
      <c r="J13">
        <v>0.78639999999999999</v>
      </c>
      <c r="K13">
        <v>1.0065659640579949</v>
      </c>
      <c r="L13">
        <v>0.495</v>
      </c>
      <c r="M13">
        <v>0.96785186399671186</v>
      </c>
      <c r="N13">
        <v>0.81343626428023441</v>
      </c>
      <c r="O13">
        <v>0.98889078252689955</v>
      </c>
      <c r="P13">
        <v>0.80930456116983629</v>
      </c>
      <c r="Q13">
        <v>0.9894174491259724</v>
      </c>
      <c r="R13">
        <v>0.82165578118506</v>
      </c>
      <c r="S13">
        <v>0.98933274928107862</v>
      </c>
      <c r="T13">
        <v>0.81772029827250359</v>
      </c>
      <c r="U13">
        <v>0.98982428012916956</v>
      </c>
      <c r="V13">
        <v>1.1197185636953371</v>
      </c>
      <c r="W13">
        <v>0.24</v>
      </c>
      <c r="X13">
        <v>0.76</v>
      </c>
      <c r="Y13">
        <v>0.34068533952113422</v>
      </c>
      <c r="Z13">
        <v>8.6398180210932457E-3</v>
      </c>
      <c r="AA13">
        <v>0.28073992266165748</v>
      </c>
      <c r="AB13">
        <v>3.4029974068740212E-2</v>
      </c>
      <c r="AC13">
        <v>0.33757044896119259</v>
      </c>
      <c r="AD13">
        <v>6.9770331056077384E-3</v>
      </c>
      <c r="AE13">
        <v>0.32126663228386931</v>
      </c>
      <c r="AF13">
        <v>2.7773423905927921E-2</v>
      </c>
      <c r="AG13">
        <v>0.35212523414819902</v>
      </c>
      <c r="AH13">
        <v>1.4260671793498729E-2</v>
      </c>
      <c r="AI13">
        <v>0.25869260312941211</v>
      </c>
      <c r="AJ13">
        <v>4.4775298683189288E-2</v>
      </c>
      <c r="AK13">
        <v>0.34934454549207339</v>
      </c>
      <c r="AL13">
        <v>1.473696436490169E-2</v>
      </c>
      <c r="AM13">
        <v>0.28912705738307348</v>
      </c>
      <c r="AN13">
        <v>4.3570015237179058E-2</v>
      </c>
    </row>
    <row r="14" spans="1:40">
      <c r="A14">
        <v>78</v>
      </c>
      <c r="B14">
        <v>5.6739594561352389</v>
      </c>
      <c r="C14">
        <v>6.0898340073093991</v>
      </c>
      <c r="D14">
        <v>21.57664234177836</v>
      </c>
      <c r="E14">
        <v>1.0340553976017679</v>
      </c>
      <c r="F14">
        <v>1.0899676597469159</v>
      </c>
      <c r="G14">
        <v>3.6003582208806848</v>
      </c>
      <c r="H14">
        <v>0.82</v>
      </c>
      <c r="I14">
        <v>0.85299472448544478</v>
      </c>
      <c r="J14">
        <v>0.90469999999999995</v>
      </c>
      <c r="K14">
        <v>0.90907530491153477</v>
      </c>
      <c r="L14">
        <v>0.41</v>
      </c>
      <c r="M14">
        <v>0.96540449068811141</v>
      </c>
      <c r="N14">
        <v>0.81230297582588062</v>
      </c>
      <c r="O14">
        <v>0.98797071741826059</v>
      </c>
      <c r="P14">
        <v>0.80864845641548311</v>
      </c>
      <c r="Q14">
        <v>0.98845936350640207</v>
      </c>
      <c r="R14">
        <v>0.821083374316255</v>
      </c>
      <c r="S14">
        <v>0.98864091998901404</v>
      </c>
      <c r="T14">
        <v>0.8177372951337919</v>
      </c>
      <c r="U14">
        <v>0.98911284667189137</v>
      </c>
      <c r="V14">
        <v>1.536050366141791</v>
      </c>
      <c r="W14">
        <v>0.11</v>
      </c>
      <c r="X14">
        <v>0.89</v>
      </c>
      <c r="Y14">
        <v>0.34104177722350459</v>
      </c>
      <c r="Z14">
        <v>1.068941540865353E-2</v>
      </c>
      <c r="AA14">
        <v>0.27832617036569751</v>
      </c>
      <c r="AB14">
        <v>2.580951609789776E-2</v>
      </c>
      <c r="AC14">
        <v>0.33787043789210858</v>
      </c>
      <c r="AD14">
        <v>7.9307754284970201E-3</v>
      </c>
      <c r="AE14">
        <v>0.3192702800907456</v>
      </c>
      <c r="AF14">
        <v>2.2316257796651379E-2</v>
      </c>
      <c r="AG14">
        <v>0.35127209844363072</v>
      </c>
      <c r="AH14">
        <v>1.330617810483372E-2</v>
      </c>
      <c r="AI14">
        <v>0.25164530907382171</v>
      </c>
      <c r="AJ14">
        <v>3.1082892574212751E-2</v>
      </c>
      <c r="AK14">
        <v>0.34863558134919381</v>
      </c>
      <c r="AL14">
        <v>1.2058011880160939E-2</v>
      </c>
      <c r="AM14">
        <v>0.2816982675946243</v>
      </c>
      <c r="AN14">
        <v>2.8737329557151459E-2</v>
      </c>
    </row>
    <row r="15" spans="1:40">
      <c r="A15">
        <v>84</v>
      </c>
      <c r="B15">
        <v>6.2264384472277117</v>
      </c>
      <c r="C15">
        <v>6.6195521538876481</v>
      </c>
      <c r="D15">
        <v>21.957816461423651</v>
      </c>
      <c r="E15">
        <v>0.93704008346239998</v>
      </c>
      <c r="F15">
        <v>0.96738137762084297</v>
      </c>
      <c r="G15">
        <v>2.842782814493765</v>
      </c>
      <c r="H15">
        <v>1.06</v>
      </c>
      <c r="I15">
        <v>1.1208925015361639</v>
      </c>
      <c r="J15">
        <v>1.1005</v>
      </c>
      <c r="K15">
        <v>1.1579290781390721</v>
      </c>
      <c r="L15">
        <v>0.38800000000000001</v>
      </c>
      <c r="M15">
        <v>0.96143523425499222</v>
      </c>
      <c r="N15">
        <v>0.81110322291350023</v>
      </c>
      <c r="O15">
        <v>0.98684869565072608</v>
      </c>
      <c r="P15">
        <v>0.8072592023700097</v>
      </c>
      <c r="Q15">
        <v>0.98717400715056247</v>
      </c>
      <c r="R15">
        <v>0.81970465531103343</v>
      </c>
      <c r="S15">
        <v>0.98740604347694028</v>
      </c>
      <c r="T15">
        <v>0.81611906114003496</v>
      </c>
      <c r="U15">
        <v>0.98772299256962104</v>
      </c>
      <c r="V15">
        <v>1.6009111116587971</v>
      </c>
      <c r="W15">
        <v>0.11</v>
      </c>
      <c r="X15">
        <v>0.89</v>
      </c>
      <c r="Y15">
        <v>0.33819514833018921</v>
      </c>
      <c r="Z15">
        <v>8.1172356093698675E-3</v>
      </c>
      <c r="AA15">
        <v>0.2765523803464412</v>
      </c>
      <c r="AB15">
        <v>2.274119428871502E-2</v>
      </c>
      <c r="AC15">
        <v>0.33681455228810031</v>
      </c>
      <c r="AD15">
        <v>6.7312933691703741E-3</v>
      </c>
      <c r="AE15">
        <v>0.32055277717261699</v>
      </c>
      <c r="AF15">
        <v>2.1074031954299601E-2</v>
      </c>
      <c r="AG15">
        <v>0.35314161746339928</v>
      </c>
      <c r="AH15">
        <v>1.470891643479239E-2</v>
      </c>
      <c r="AI15">
        <v>0.25292632328846848</v>
      </c>
      <c r="AJ15">
        <v>2.5002065914129529E-2</v>
      </c>
      <c r="AK15">
        <v>0.3522536370072788</v>
      </c>
      <c r="AL15">
        <v>1.3916201094085459E-2</v>
      </c>
      <c r="AM15">
        <v>0.28599983813594199</v>
      </c>
      <c r="AN15">
        <v>2.520629539891742E-2</v>
      </c>
    </row>
    <row r="16" spans="1:40">
      <c r="A16">
        <v>90</v>
      </c>
      <c r="B16">
        <v>6.5740841169856568</v>
      </c>
      <c r="C16">
        <v>6.9749680692504183</v>
      </c>
      <c r="D16">
        <v>21.636152542795049</v>
      </c>
      <c r="E16">
        <v>1.27530186114526</v>
      </c>
      <c r="F16">
        <v>1.328557389293304</v>
      </c>
      <c r="G16">
        <v>3.9856056098915378</v>
      </c>
      <c r="H16">
        <v>1.06</v>
      </c>
      <c r="I16">
        <v>1.0565983153497831</v>
      </c>
      <c r="J16">
        <v>1.1448</v>
      </c>
      <c r="K16">
        <v>1.1107803383207679</v>
      </c>
      <c r="L16">
        <v>0.318</v>
      </c>
      <c r="M16">
        <v>0.96229214442213329</v>
      </c>
      <c r="N16">
        <v>0.8109347733868455</v>
      </c>
      <c r="O16">
        <v>0.98742174945212735</v>
      </c>
      <c r="P16">
        <v>0.80740463379256933</v>
      </c>
      <c r="Q16">
        <v>0.98771041077153676</v>
      </c>
      <c r="R16">
        <v>0.81990353050947329</v>
      </c>
      <c r="S16">
        <v>0.98809507786042738</v>
      </c>
      <c r="T16">
        <v>0.81663486827854526</v>
      </c>
      <c r="U16">
        <v>0.98839111194765772</v>
      </c>
      <c r="V16">
        <v>2.030157846843144</v>
      </c>
      <c r="W16">
        <v>6.9999999999999951E-2</v>
      </c>
      <c r="X16">
        <v>0.93</v>
      </c>
      <c r="Y16">
        <v>0.34258570529843418</v>
      </c>
      <c r="Z16">
        <v>9.0479414645781783E-3</v>
      </c>
      <c r="AA16">
        <v>0.28043706667676321</v>
      </c>
      <c r="AB16">
        <v>3.037962157967997E-2</v>
      </c>
      <c r="AC16">
        <v>0.34026957417265508</v>
      </c>
      <c r="AD16">
        <v>6.6204771142252504E-3</v>
      </c>
      <c r="AE16">
        <v>0.32141831073530869</v>
      </c>
      <c r="AF16">
        <v>2.6868299414723629E-2</v>
      </c>
      <c r="AG16">
        <v>0.35398013622397317</v>
      </c>
      <c r="AH16">
        <v>1.27713751706196E-2</v>
      </c>
      <c r="AI16">
        <v>0.25602778443510948</v>
      </c>
      <c r="AJ16">
        <v>3.6688049785435217E-2</v>
      </c>
      <c r="AK16">
        <v>0.35212978239452292</v>
      </c>
      <c r="AL16">
        <v>1.207588436220627E-2</v>
      </c>
      <c r="AM16">
        <v>0.28655970485952598</v>
      </c>
      <c r="AN16">
        <v>3.5965856308513122E-2</v>
      </c>
    </row>
    <row r="17" spans="1:40">
      <c r="A17">
        <v>96</v>
      </c>
      <c r="B17">
        <v>6.897518705650409</v>
      </c>
      <c r="C17">
        <v>7.2733141078042172</v>
      </c>
      <c r="D17">
        <v>21.312244039193398</v>
      </c>
      <c r="E17">
        <v>1.4554802500887991</v>
      </c>
      <c r="F17">
        <v>1.5217537368549281</v>
      </c>
      <c r="G17">
        <v>4.0581935178479966</v>
      </c>
      <c r="H17">
        <v>1.38</v>
      </c>
      <c r="I17">
        <v>1.1382442620105759</v>
      </c>
      <c r="J17">
        <v>1.4698</v>
      </c>
      <c r="K17">
        <v>1.19066702314291</v>
      </c>
      <c r="L17">
        <v>0.2006</v>
      </c>
      <c r="M17">
        <v>0.95444514995564911</v>
      </c>
      <c r="N17">
        <v>0.8088247314278677</v>
      </c>
      <c r="O17">
        <v>0.9846804760397827</v>
      </c>
      <c r="P17">
        <v>0.80529960045790872</v>
      </c>
      <c r="Q17">
        <v>0.98499795193659334</v>
      </c>
      <c r="R17">
        <v>0.81894327615783435</v>
      </c>
      <c r="S17">
        <v>0.9856145657008788</v>
      </c>
      <c r="T17">
        <v>0.81568411917286865</v>
      </c>
      <c r="U17">
        <v>0.98591276043550535</v>
      </c>
      <c r="V17">
        <v>2.2351689321720012</v>
      </c>
      <c r="W17">
        <v>6.0000000000000053E-2</v>
      </c>
      <c r="X17">
        <v>0.94</v>
      </c>
      <c r="Y17">
        <v>0.34111222506100169</v>
      </c>
      <c r="Z17">
        <v>7.9848664559645163E-3</v>
      </c>
      <c r="AA17">
        <v>0.2820257626443568</v>
      </c>
      <c r="AB17">
        <v>2.957933086185778E-2</v>
      </c>
      <c r="AC17">
        <v>0.33928006988371018</v>
      </c>
      <c r="AD17">
        <v>6.7962296763800873E-3</v>
      </c>
      <c r="AE17">
        <v>0.32341653324811798</v>
      </c>
      <c r="AF17">
        <v>2.569985837266462E-2</v>
      </c>
      <c r="AG17">
        <v>0.35710600480329269</v>
      </c>
      <c r="AH17">
        <v>1.7086645750167741E-2</v>
      </c>
      <c r="AI17">
        <v>0.26295577886745569</v>
      </c>
      <c r="AJ17">
        <v>3.020918208943232E-2</v>
      </c>
      <c r="AK17">
        <v>0.35570047270739508</v>
      </c>
      <c r="AL17">
        <v>1.75599292196102E-2</v>
      </c>
      <c r="AM17">
        <v>0.29510431244394392</v>
      </c>
      <c r="AN17">
        <v>2.8931717510042431E-2</v>
      </c>
    </row>
    <row r="18" spans="1:40">
      <c r="A18">
        <v>102</v>
      </c>
      <c r="B18">
        <v>7.4123892520933978</v>
      </c>
      <c r="C18">
        <v>7.8608789222941491</v>
      </c>
      <c r="D18">
        <v>21.5452741009112</v>
      </c>
      <c r="E18">
        <v>1.1495964241837779</v>
      </c>
      <c r="F18">
        <v>1.117269777277111</v>
      </c>
      <c r="G18">
        <v>2.787964368201981</v>
      </c>
      <c r="H18">
        <v>1.22</v>
      </c>
      <c r="I18">
        <v>1.0731262740237051</v>
      </c>
      <c r="J18">
        <v>1.3070999999999999</v>
      </c>
      <c r="K18">
        <v>1.0891233125775981</v>
      </c>
      <c r="L18">
        <v>0.26740000000000003</v>
      </c>
      <c r="M18">
        <v>0.96211786791230935</v>
      </c>
      <c r="N18">
        <v>0.81202556687419414</v>
      </c>
      <c r="O18">
        <v>0.98718919141159345</v>
      </c>
      <c r="P18">
        <v>0.80772094323585741</v>
      </c>
      <c r="Q18">
        <v>0.98748290700539054</v>
      </c>
      <c r="R18">
        <v>0.82042594917953759</v>
      </c>
      <c r="S18">
        <v>0.98771783484669484</v>
      </c>
      <c r="T18">
        <v>0.81640554185633796</v>
      </c>
      <c r="U18">
        <v>0.98800496036815422</v>
      </c>
      <c r="V18">
        <v>2.3808356202133969</v>
      </c>
      <c r="W18">
        <v>2.0000000000000021E-2</v>
      </c>
      <c r="X18">
        <v>0.98</v>
      </c>
      <c r="Y18">
        <v>0.34320446493696699</v>
      </c>
      <c r="Z18">
        <v>7.1106209037444766E-3</v>
      </c>
      <c r="AA18">
        <v>0.27283156086248928</v>
      </c>
      <c r="AB18">
        <v>2.4088206123517929E-2</v>
      </c>
      <c r="AC18">
        <v>0.34109952183952608</v>
      </c>
      <c r="AD18">
        <v>5.8354771856010366E-3</v>
      </c>
      <c r="AE18">
        <v>0.31559503597244032</v>
      </c>
      <c r="AF18">
        <v>2.2223635148784081E-2</v>
      </c>
      <c r="AG18">
        <v>0.35706922892391318</v>
      </c>
      <c r="AH18">
        <v>1.5157103816730961E-2</v>
      </c>
      <c r="AI18">
        <v>0.25058059191871762</v>
      </c>
      <c r="AJ18">
        <v>3.1108959234639539E-2</v>
      </c>
      <c r="AK18">
        <v>0.3554290224583489</v>
      </c>
      <c r="AL18">
        <v>1.549668373767836E-2</v>
      </c>
      <c r="AM18">
        <v>0.28276574665568238</v>
      </c>
      <c r="AN18">
        <v>3.3060335828845891E-2</v>
      </c>
    </row>
    <row r="19" spans="1:40">
      <c r="A19">
        <v>108</v>
      </c>
      <c r="B19">
        <v>8.0938888238566484</v>
      </c>
      <c r="C19">
        <v>8.4984381601193206</v>
      </c>
      <c r="D19">
        <v>22.187111084724361</v>
      </c>
      <c r="E19">
        <v>1.1907775258672579</v>
      </c>
      <c r="F19">
        <v>1.2125109159595959</v>
      </c>
      <c r="G19">
        <v>2.7329643041859342</v>
      </c>
      <c r="H19">
        <v>1.1000000000000001</v>
      </c>
      <c r="I19">
        <v>0.95393920141694577</v>
      </c>
      <c r="J19">
        <v>1.1769000000000001</v>
      </c>
      <c r="K19">
        <v>0.99489013966367168</v>
      </c>
      <c r="L19">
        <v>0.25469999999999998</v>
      </c>
      <c r="M19">
        <v>0.9676505523895772</v>
      </c>
      <c r="N19">
        <v>0.81207812619729802</v>
      </c>
      <c r="O19">
        <v>0.98881445541854518</v>
      </c>
      <c r="P19">
        <v>0.80857996521298159</v>
      </c>
      <c r="Q19">
        <v>0.98928020426641505</v>
      </c>
      <c r="R19">
        <v>0.82178457289221518</v>
      </c>
      <c r="S19">
        <v>0.98954114303748286</v>
      </c>
      <c r="T19">
        <v>0.81855927024676589</v>
      </c>
      <c r="U19">
        <v>0.98998777837275831</v>
      </c>
      <c r="V19">
        <v>2.3294889428720631</v>
      </c>
      <c r="W19">
        <v>2.0000000000000021E-2</v>
      </c>
      <c r="X19">
        <v>0.98</v>
      </c>
      <c r="Y19">
        <v>0.34084830967469909</v>
      </c>
      <c r="Z19">
        <v>7.9227564257575815E-3</v>
      </c>
      <c r="AA19">
        <v>0.29206578405443712</v>
      </c>
      <c r="AB19">
        <v>2.5513019531099169E-2</v>
      </c>
      <c r="AC19">
        <v>0.33887160191427967</v>
      </c>
      <c r="AD19">
        <v>6.1142901275861028E-3</v>
      </c>
      <c r="AE19">
        <v>0.33414056225049582</v>
      </c>
      <c r="AF19">
        <v>2.305984206598332E-2</v>
      </c>
      <c r="AG19">
        <v>0.35417893454112143</v>
      </c>
      <c r="AH19">
        <v>1.124890699253457E-2</v>
      </c>
      <c r="AI19">
        <v>0.26834535602755338</v>
      </c>
      <c r="AJ19">
        <v>2.7821074335835728E-2</v>
      </c>
      <c r="AK19">
        <v>0.35249379298151817</v>
      </c>
      <c r="AL19">
        <v>1.142821739115692E-2</v>
      </c>
      <c r="AM19">
        <v>0.30055804940738368</v>
      </c>
      <c r="AN19">
        <v>2.8557905060963638E-2</v>
      </c>
    </row>
    <row r="20" spans="1:40">
      <c r="A20">
        <v>114</v>
      </c>
      <c r="B20">
        <v>8.4025465999443743</v>
      </c>
      <c r="C20">
        <v>8.7892302391700419</v>
      </c>
      <c r="D20">
        <v>21.799471460096381</v>
      </c>
      <c r="E20">
        <v>1.3753626133919059</v>
      </c>
      <c r="F20">
        <v>1.421396047153572</v>
      </c>
      <c r="G20">
        <v>3.176592522455628</v>
      </c>
      <c r="H20">
        <v>1.62</v>
      </c>
      <c r="I20">
        <v>1.405560386465128</v>
      </c>
      <c r="J20">
        <v>1.7266999999999999</v>
      </c>
      <c r="K20">
        <v>1.4201433413567801</v>
      </c>
      <c r="L20">
        <v>0.21199999999999999</v>
      </c>
      <c r="M20">
        <v>0.9549983042158654</v>
      </c>
      <c r="N20">
        <v>0.80992578280627947</v>
      </c>
      <c r="O20">
        <v>0.98454975510686449</v>
      </c>
      <c r="P20">
        <v>0.80607222528322608</v>
      </c>
      <c r="Q20">
        <v>0.98494076856883361</v>
      </c>
      <c r="R20">
        <v>0.818393899884575</v>
      </c>
      <c r="S20">
        <v>0.98543505972174883</v>
      </c>
      <c r="T20">
        <v>0.81481798698740038</v>
      </c>
      <c r="U20">
        <v>0.98583130959397491</v>
      </c>
      <c r="V20">
        <v>2.6585998394640828</v>
      </c>
      <c r="W20">
        <v>0</v>
      </c>
      <c r="X20">
        <v>1</v>
      </c>
      <c r="Y20">
        <v>0.34045719501516819</v>
      </c>
      <c r="Z20">
        <v>6.4365920567661739E-3</v>
      </c>
      <c r="AA20">
        <v>0.2744516646169875</v>
      </c>
      <c r="AB20">
        <v>2.471302112933544E-2</v>
      </c>
      <c r="AC20">
        <v>0.33733769750263198</v>
      </c>
      <c r="AD20">
        <v>4.9718852705051926E-3</v>
      </c>
      <c r="AE20">
        <v>0.31500505951717522</v>
      </c>
      <c r="AF20">
        <v>2.124852563179885E-2</v>
      </c>
      <c r="AG20">
        <v>0.35075276353901452</v>
      </c>
      <c r="AH20">
        <v>7.7433868590325314E-3</v>
      </c>
      <c r="AI20">
        <v>0.24810256158047961</v>
      </c>
      <c r="AJ20">
        <v>3.0632395404053651E-2</v>
      </c>
      <c r="AK20">
        <v>0.34816313717865111</v>
      </c>
      <c r="AL20">
        <v>7.3518491143375704E-3</v>
      </c>
      <c r="AM20">
        <v>0.27762727945926108</v>
      </c>
      <c r="AN20">
        <v>2.9330005521891689E-2</v>
      </c>
    </row>
    <row r="21" spans="1:40">
      <c r="A21">
        <v>120</v>
      </c>
      <c r="B21">
        <v>8.7142583760807302</v>
      </c>
      <c r="C21">
        <v>9.1187749632572501</v>
      </c>
      <c r="D21">
        <v>21.706229930873679</v>
      </c>
      <c r="E21">
        <v>1.0772800652105079</v>
      </c>
      <c r="F21">
        <v>1.0815071801664611</v>
      </c>
      <c r="G21">
        <v>2.2118550643852761</v>
      </c>
      <c r="H21">
        <v>1.75</v>
      </c>
      <c r="I21">
        <v>1.203120941551596</v>
      </c>
      <c r="J21">
        <v>1.8428</v>
      </c>
      <c r="K21">
        <v>1.2459888282003171</v>
      </c>
      <c r="L21">
        <v>0.17549999999999999</v>
      </c>
      <c r="M21">
        <v>0.9541628030532866</v>
      </c>
      <c r="N21">
        <v>0.80839364652941503</v>
      </c>
      <c r="O21">
        <v>0.9845512521154689</v>
      </c>
      <c r="P21">
        <v>0.80542156606893656</v>
      </c>
      <c r="Q21">
        <v>0.98490971752159095</v>
      </c>
      <c r="R21">
        <v>0.8198561992246548</v>
      </c>
      <c r="S21">
        <v>0.98557494325315742</v>
      </c>
      <c r="T21">
        <v>0.817183874571629</v>
      </c>
      <c r="U21">
        <v>0.98593968722896175</v>
      </c>
      <c r="V21">
        <v>2.70621232417135</v>
      </c>
      <c r="W21">
        <v>1.0000000000000011E-2</v>
      </c>
      <c r="X21">
        <v>0.99</v>
      </c>
      <c r="Y21">
        <v>0.3399388718503536</v>
      </c>
      <c r="Z21">
        <v>8.8249464992637867E-3</v>
      </c>
      <c r="AA21">
        <v>0.27912350049453122</v>
      </c>
      <c r="AB21">
        <v>3.0623713548466588E-2</v>
      </c>
      <c r="AC21">
        <v>0.3376524339623348</v>
      </c>
      <c r="AD21">
        <v>6.7680547496241162E-3</v>
      </c>
      <c r="AE21">
        <v>0.32246700264489692</v>
      </c>
      <c r="AF21">
        <v>2.7995875464961229E-2</v>
      </c>
      <c r="AG21">
        <v>0.3577863835952606</v>
      </c>
      <c r="AH21">
        <v>1.2931699938889979E-2</v>
      </c>
      <c r="AI21">
        <v>0.25883811834925602</v>
      </c>
      <c r="AJ21">
        <v>3.3302415644349222E-2</v>
      </c>
      <c r="AK21">
        <v>0.35614715180838119</v>
      </c>
      <c r="AL21">
        <v>1.276383196507018E-2</v>
      </c>
      <c r="AM21">
        <v>0.29213838926619828</v>
      </c>
      <c r="AN21">
        <v>3.2827626113667699E-2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1C52-8F14-40B4-8E3C-EA637F771A8C}">
  <dimension ref="A1:AN21"/>
  <sheetViews>
    <sheetView workbookViewId="0">
      <selection activeCell="F23" sqref="F23"/>
    </sheetView>
  </sheetViews>
  <sheetFormatPr defaultRowHeight="14.1"/>
  <cols>
    <col min="1" max="1" width="4.5" bestFit="1" customWidth="1"/>
    <col min="2" max="2" width="12.44921875" bestFit="1" customWidth="1"/>
    <col min="3" max="3" width="13.34765625" bestFit="1" customWidth="1"/>
    <col min="4" max="4" width="13.59765625" bestFit="1" customWidth="1"/>
    <col min="5" max="5" width="21.09765625" bestFit="1" customWidth="1"/>
    <col min="6" max="6" width="22.046875" bestFit="1" customWidth="1"/>
    <col min="7" max="7" width="22.25" bestFit="1" customWidth="1"/>
    <col min="8" max="8" width="31.44921875" bestFit="1" customWidth="1"/>
    <col min="9" max="9" width="29.19921875" bestFit="1" customWidth="1"/>
    <col min="10" max="10" width="26.84765625" bestFit="1" customWidth="1"/>
    <col min="11" max="11" width="24.59765625" bestFit="1" customWidth="1"/>
    <col min="12" max="12" width="40.6484375" bestFit="1" customWidth="1"/>
    <col min="13" max="13" width="34.046875" bestFit="1" customWidth="1"/>
    <col min="14" max="14" width="28.59765625" bestFit="1" customWidth="1"/>
    <col min="15" max="15" width="36.84765625" bestFit="1" customWidth="1"/>
    <col min="16" max="16" width="27.046875" bestFit="1" customWidth="1"/>
    <col min="17" max="17" width="35.296875" bestFit="1" customWidth="1"/>
    <col min="18" max="18" width="26.546875" bestFit="1" customWidth="1"/>
    <col min="19" max="19" width="34.796875" bestFit="1" customWidth="1"/>
    <col min="20" max="20" width="28.09765625" bestFit="1" customWidth="1"/>
    <col min="21" max="21" width="36.34765625" bestFit="1" customWidth="1"/>
    <col min="22" max="22" width="13.6484375" bestFit="1" customWidth="1"/>
    <col min="23" max="23" width="33.1484375" bestFit="1" customWidth="1"/>
    <col min="24" max="24" width="31.75" bestFit="1" customWidth="1"/>
    <col min="25" max="25" width="30.546875" bestFit="1" customWidth="1"/>
    <col min="26" max="26" width="28.296875" bestFit="1" customWidth="1"/>
    <col min="27" max="27" width="31.1484375" bestFit="1" customWidth="1"/>
    <col min="28" max="28" width="28.8984375" bestFit="1" customWidth="1"/>
    <col min="29" max="29" width="29" bestFit="1" customWidth="1"/>
    <col min="30" max="30" width="26.75" bestFit="1" customWidth="1"/>
    <col min="31" max="31" width="29.59765625" bestFit="1" customWidth="1"/>
    <col min="32" max="32" width="27.34765625" bestFit="1" customWidth="1"/>
    <col min="33" max="33" width="28.5" bestFit="1" customWidth="1"/>
    <col min="34" max="34" width="26.25" bestFit="1" customWidth="1"/>
    <col min="35" max="35" width="29.1484375" bestFit="1" customWidth="1"/>
    <col min="36" max="36" width="26.8984375" bestFit="1" customWidth="1"/>
    <col min="37" max="37" width="30" bestFit="1" customWidth="1"/>
    <col min="38" max="38" width="27.796875" bestFit="1" customWidth="1"/>
    <col min="39" max="39" width="30.6484375" bestFit="1" customWidth="1"/>
    <col min="40" max="40" width="28.3984375" bestFit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42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6</v>
      </c>
      <c r="B2">
        <v>0.33983333333333332</v>
      </c>
      <c r="C2">
        <v>0.43962442514947159</v>
      </c>
      <c r="D2">
        <v>16.991666666666671</v>
      </c>
      <c r="E2">
        <v>0.37272193239583967</v>
      </c>
      <c r="F2">
        <v>0.47947578820902248</v>
      </c>
      <c r="G2">
        <v>18.636096619791989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0.80000000000000016</v>
      </c>
      <c r="O2">
        <v>1</v>
      </c>
      <c r="P2">
        <v>0.80000000000000016</v>
      </c>
      <c r="Q2">
        <v>1</v>
      </c>
      <c r="R2">
        <v>0.80000000000000016</v>
      </c>
      <c r="S2">
        <v>1</v>
      </c>
      <c r="T2">
        <v>0.80000000000000016</v>
      </c>
      <c r="U2">
        <v>1</v>
      </c>
      <c r="V2">
        <v>0</v>
      </c>
      <c r="W2">
        <v>1</v>
      </c>
      <c r="X2">
        <v>0</v>
      </c>
      <c r="Y2">
        <v>0.31285333450948749</v>
      </c>
      <c r="Z2">
        <v>1.26819368131229E-2</v>
      </c>
      <c r="AA2">
        <v>0.5</v>
      </c>
      <c r="AB2">
        <v>0</v>
      </c>
      <c r="AC2">
        <v>0.31285333450948749</v>
      </c>
      <c r="AD2">
        <v>1.26819368131229E-2</v>
      </c>
      <c r="AE2">
        <v>0.5</v>
      </c>
      <c r="AF2">
        <v>0</v>
      </c>
      <c r="AG2">
        <v>0.31285333450948749</v>
      </c>
      <c r="AH2">
        <v>1.26819368131229E-2</v>
      </c>
      <c r="AI2">
        <v>0.5</v>
      </c>
      <c r="AJ2">
        <v>0</v>
      </c>
      <c r="AK2">
        <v>0.31285333450948749</v>
      </c>
      <c r="AL2">
        <v>1.26819368131229E-2</v>
      </c>
      <c r="AM2">
        <v>0.5</v>
      </c>
      <c r="AN2">
        <v>0</v>
      </c>
    </row>
    <row r="3" spans="1:40">
      <c r="A3">
        <v>12</v>
      </c>
      <c r="B3">
        <v>0.70369841269841271</v>
      </c>
      <c r="C3">
        <v>0.88420239851025595</v>
      </c>
      <c r="D3">
        <v>17.592460317460311</v>
      </c>
      <c r="E3">
        <v>0.56301365193040842</v>
      </c>
      <c r="F3">
        <v>0.70065984165414075</v>
      </c>
      <c r="G3">
        <v>14.075341298260209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0.80000000000000016</v>
      </c>
      <c r="O3">
        <v>1</v>
      </c>
      <c r="P3">
        <v>0.80000000000000016</v>
      </c>
      <c r="Q3">
        <v>1</v>
      </c>
      <c r="R3">
        <v>0.80000000000000016</v>
      </c>
      <c r="S3">
        <v>1</v>
      </c>
      <c r="T3">
        <v>0.80000000000000016</v>
      </c>
      <c r="U3">
        <v>1</v>
      </c>
      <c r="V3">
        <v>0</v>
      </c>
      <c r="W3">
        <v>1</v>
      </c>
      <c r="X3">
        <v>0</v>
      </c>
      <c r="Y3">
        <v>0.32365730038352319</v>
      </c>
      <c r="Z3">
        <v>8.7357715710929661E-3</v>
      </c>
      <c r="AA3">
        <v>0.5</v>
      </c>
      <c r="AB3">
        <v>0</v>
      </c>
      <c r="AC3">
        <v>0.32365730038352319</v>
      </c>
      <c r="AD3">
        <v>8.7357715710929661E-3</v>
      </c>
      <c r="AE3">
        <v>0.5</v>
      </c>
      <c r="AF3">
        <v>0</v>
      </c>
      <c r="AG3">
        <v>0.32365730038352319</v>
      </c>
      <c r="AH3">
        <v>8.7357715710929661E-3</v>
      </c>
      <c r="AI3">
        <v>0.5</v>
      </c>
      <c r="AJ3">
        <v>0</v>
      </c>
      <c r="AK3">
        <v>0.32365730038352319</v>
      </c>
      <c r="AL3">
        <v>8.7357715710929661E-3</v>
      </c>
      <c r="AM3">
        <v>0.5</v>
      </c>
      <c r="AN3">
        <v>0</v>
      </c>
    </row>
    <row r="4" spans="1:40">
      <c r="A4">
        <v>18</v>
      </c>
      <c r="B4">
        <v>1.1614266408853999</v>
      </c>
      <c r="C4">
        <v>1.423825631762702</v>
      </c>
      <c r="D4">
        <v>19.35711068142334</v>
      </c>
      <c r="E4">
        <v>0.63684319657761823</v>
      </c>
      <c r="F4">
        <v>0.76662522205218164</v>
      </c>
      <c r="G4">
        <v>10.614053276293641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0.80875498575498583</v>
      </c>
      <c r="O4">
        <v>1</v>
      </c>
      <c r="P4">
        <v>0.80569230769230793</v>
      </c>
      <c r="Q4">
        <v>1</v>
      </c>
      <c r="R4">
        <v>0.80875498575498583</v>
      </c>
      <c r="S4">
        <v>1</v>
      </c>
      <c r="T4">
        <v>0.80569230769230793</v>
      </c>
      <c r="U4">
        <v>1</v>
      </c>
      <c r="V4">
        <v>0</v>
      </c>
      <c r="W4">
        <v>1</v>
      </c>
      <c r="X4">
        <v>0</v>
      </c>
      <c r="Y4">
        <v>0.33137352698086242</v>
      </c>
      <c r="Z4">
        <v>1.364091447796412E-2</v>
      </c>
      <c r="AA4">
        <v>0.41093863013698628</v>
      </c>
      <c r="AB4">
        <v>5.4477645444326338E-2</v>
      </c>
      <c r="AC4">
        <v>0.32940776251796428</v>
      </c>
      <c r="AD4">
        <v>9.9669581406574958E-3</v>
      </c>
      <c r="AE4">
        <v>0.42994711399711399</v>
      </c>
      <c r="AF4">
        <v>4.1765658723595167E-2</v>
      </c>
      <c r="AG4">
        <v>0.33137352698086242</v>
      </c>
      <c r="AH4">
        <v>1.364091447796412E-2</v>
      </c>
      <c r="AI4">
        <v>0.39744481927710829</v>
      </c>
      <c r="AJ4">
        <v>6.8651738799176618E-2</v>
      </c>
      <c r="AK4">
        <v>0.32940776251796428</v>
      </c>
      <c r="AL4">
        <v>9.9669581406574958E-3</v>
      </c>
      <c r="AM4">
        <v>0.41364747284878872</v>
      </c>
      <c r="AN4">
        <v>5.7661269016658932E-2</v>
      </c>
    </row>
    <row r="5" spans="1:40">
      <c r="A5">
        <v>24</v>
      </c>
      <c r="B5">
        <v>1.612786807255568</v>
      </c>
      <c r="C5">
        <v>1.899724237225169</v>
      </c>
      <c r="D5">
        <v>20.1598350906946</v>
      </c>
      <c r="E5">
        <v>0.74467208036742383</v>
      </c>
      <c r="F5">
        <v>0.85739183083029324</v>
      </c>
      <c r="G5">
        <v>9.3084010045927972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0.80502402402402407</v>
      </c>
      <c r="O5">
        <v>1</v>
      </c>
      <c r="P5">
        <v>0.80349999999999999</v>
      </c>
      <c r="Q5">
        <v>1</v>
      </c>
      <c r="R5">
        <v>0.80502402402402407</v>
      </c>
      <c r="S5">
        <v>1</v>
      </c>
      <c r="T5">
        <v>0.80349999999999999</v>
      </c>
      <c r="U5">
        <v>1</v>
      </c>
      <c r="V5">
        <v>0</v>
      </c>
      <c r="W5">
        <v>1</v>
      </c>
      <c r="X5">
        <v>0</v>
      </c>
      <c r="Y5">
        <v>0.33023943728163441</v>
      </c>
      <c r="Z5">
        <v>9.4191606584381315E-3</v>
      </c>
      <c r="AA5">
        <v>0.43896473118279572</v>
      </c>
      <c r="AB5">
        <v>4.7861654013719807E-2</v>
      </c>
      <c r="AC5">
        <v>0.32893306557138269</v>
      </c>
      <c r="AD5">
        <v>7.4690303580739756E-3</v>
      </c>
      <c r="AE5">
        <v>0.45396186606892691</v>
      </c>
      <c r="AF5">
        <v>3.5441169346314631E-2</v>
      </c>
      <c r="AG5">
        <v>0.33023943728163441</v>
      </c>
      <c r="AH5">
        <v>9.4191606584381315E-3</v>
      </c>
      <c r="AI5">
        <v>0.42604647249190941</v>
      </c>
      <c r="AJ5">
        <v>6.2007378277896062E-2</v>
      </c>
      <c r="AK5">
        <v>0.32893306557138269</v>
      </c>
      <c r="AL5">
        <v>7.4690303580739756E-3</v>
      </c>
      <c r="AM5">
        <v>0.43897349397590357</v>
      </c>
      <c r="AN5">
        <v>5.1129474402155588E-2</v>
      </c>
    </row>
    <row r="6" spans="1:40">
      <c r="A6">
        <v>30</v>
      </c>
      <c r="B6">
        <v>2.1478915209038858</v>
      </c>
      <c r="C6">
        <v>2.4813562216353962</v>
      </c>
      <c r="D6">
        <v>21.47891520903886</v>
      </c>
      <c r="E6">
        <v>0.70246063876587905</v>
      </c>
      <c r="F6">
        <v>0.78066346670232212</v>
      </c>
      <c r="G6">
        <v>7.0246063876587899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0.80938287758323058</v>
      </c>
      <c r="O6">
        <v>1</v>
      </c>
      <c r="P6">
        <v>0.80687991718426522</v>
      </c>
      <c r="Q6">
        <v>1</v>
      </c>
      <c r="R6">
        <v>0.81128763948799243</v>
      </c>
      <c r="S6">
        <v>1</v>
      </c>
      <c r="T6">
        <v>0.80878467908902707</v>
      </c>
      <c r="U6">
        <v>1</v>
      </c>
      <c r="V6">
        <v>0</v>
      </c>
      <c r="W6">
        <v>1</v>
      </c>
      <c r="X6">
        <v>0</v>
      </c>
      <c r="Y6">
        <v>0.33401839254244148</v>
      </c>
      <c r="Z6">
        <v>9.5303528857936231E-3</v>
      </c>
      <c r="AA6">
        <v>0.38972967344656212</v>
      </c>
      <c r="AB6">
        <v>5.1795569830085063E-2</v>
      </c>
      <c r="AC6">
        <v>0.33252205349620501</v>
      </c>
      <c r="AD6">
        <v>7.8228567456401898E-3</v>
      </c>
      <c r="AE6">
        <v>0.41511098122108642</v>
      </c>
      <c r="AF6">
        <v>3.9732630869793638E-2</v>
      </c>
      <c r="AG6">
        <v>0.33647429570809539</v>
      </c>
      <c r="AH6">
        <v>1.1492592676184439E-2</v>
      </c>
      <c r="AI6">
        <v>0.37069766131053677</v>
      </c>
      <c r="AJ6">
        <v>6.3195593439386813E-2</v>
      </c>
      <c r="AK6">
        <v>0.33497795666185892</v>
      </c>
      <c r="AL6">
        <v>1.0478495863282519E-2</v>
      </c>
      <c r="AM6">
        <v>0.39181485985591269</v>
      </c>
      <c r="AN6">
        <v>5.3290711337306118E-2</v>
      </c>
    </row>
    <row r="7" spans="1:40">
      <c r="A7">
        <v>36</v>
      </c>
      <c r="B7">
        <v>2.7130774364459338</v>
      </c>
      <c r="C7">
        <v>3.1045694678687328</v>
      </c>
      <c r="D7">
        <v>22.60897863704945</v>
      </c>
      <c r="E7">
        <v>0.59743265104868581</v>
      </c>
      <c r="F7">
        <v>0.64013309809539154</v>
      </c>
      <c r="G7">
        <v>4.9786054254057159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0.80765503855995413</v>
      </c>
      <c r="O7">
        <v>1</v>
      </c>
      <c r="P7">
        <v>0.80559065934065954</v>
      </c>
      <c r="Q7">
        <v>1</v>
      </c>
      <c r="R7">
        <v>0.8097529406578563</v>
      </c>
      <c r="S7">
        <v>1</v>
      </c>
      <c r="T7">
        <v>0.80768856143856171</v>
      </c>
      <c r="U7">
        <v>1</v>
      </c>
      <c r="V7">
        <v>1.8052425552521491E-2</v>
      </c>
      <c r="W7">
        <v>0.98</v>
      </c>
      <c r="X7">
        <v>0.02</v>
      </c>
      <c r="Y7">
        <v>0.33327787090794753</v>
      </c>
      <c r="Z7">
        <v>8.4163414035141031E-3</v>
      </c>
      <c r="AA7">
        <v>0.40567040410922878</v>
      </c>
      <c r="AB7">
        <v>4.7378000612267657E-2</v>
      </c>
      <c r="AC7">
        <v>0.33187899578077751</v>
      </c>
      <c r="AD7">
        <v>6.5109199145777872E-3</v>
      </c>
      <c r="AE7">
        <v>0.42840284663341949</v>
      </c>
      <c r="AF7">
        <v>3.5769404698252898E-2</v>
      </c>
      <c r="AG7">
        <v>0.33609704092750881</v>
      </c>
      <c r="AH7">
        <v>1.0120951391693569E-2</v>
      </c>
      <c r="AI7">
        <v>0.38935227744536749</v>
      </c>
      <c r="AJ7">
        <v>5.7307974494729012E-2</v>
      </c>
      <c r="AK7">
        <v>0.33469816580033879</v>
      </c>
      <c r="AL7">
        <v>9.048661018394898E-3</v>
      </c>
      <c r="AM7">
        <v>0.4088493305148152</v>
      </c>
      <c r="AN7">
        <v>4.7332767809032457E-2</v>
      </c>
    </row>
    <row r="8" spans="1:40">
      <c r="A8">
        <v>42</v>
      </c>
      <c r="B8">
        <v>3.2620649901551508</v>
      </c>
      <c r="C8">
        <v>3.638327453860009</v>
      </c>
      <c r="D8">
        <v>23.076084832332722</v>
      </c>
      <c r="E8">
        <v>0.56072291344473391</v>
      </c>
      <c r="F8">
        <v>0.62344652179889459</v>
      </c>
      <c r="G8">
        <v>3.934589833625699</v>
      </c>
      <c r="H8">
        <v>0.09</v>
      </c>
      <c r="I8">
        <v>0.40236799077461421</v>
      </c>
      <c r="J8">
        <v>0.09</v>
      </c>
      <c r="K8">
        <v>0.40236799077461421</v>
      </c>
      <c r="L8">
        <v>0.94</v>
      </c>
      <c r="M8">
        <v>0.99371428571428566</v>
      </c>
      <c r="N8">
        <v>0.80516092199507283</v>
      </c>
      <c r="O8">
        <v>0.99826154699906089</v>
      </c>
      <c r="P8">
        <v>0.80365870688451346</v>
      </c>
      <c r="Q8">
        <v>0.99822308546059935</v>
      </c>
      <c r="R8">
        <v>0.8061435522680257</v>
      </c>
      <c r="S8">
        <v>0.99826154699906089</v>
      </c>
      <c r="T8">
        <v>0.80464133715746622</v>
      </c>
      <c r="U8">
        <v>0.99822308546059935</v>
      </c>
      <c r="V8">
        <v>9.4210471395816967E-2</v>
      </c>
      <c r="W8">
        <v>0.87</v>
      </c>
      <c r="X8">
        <v>0.13</v>
      </c>
      <c r="Y8">
        <v>0.3336160665290886</v>
      </c>
      <c r="Z8">
        <v>7.9687245970287753E-3</v>
      </c>
      <c r="AA8">
        <v>0.41221487730921791</v>
      </c>
      <c r="AB8">
        <v>5.0814923841152493E-2</v>
      </c>
      <c r="AC8">
        <v>0.33288017849933788</v>
      </c>
      <c r="AD8">
        <v>6.8580896185225643E-3</v>
      </c>
      <c r="AE8">
        <v>0.43442408859413778</v>
      </c>
      <c r="AF8">
        <v>3.7546864842971012E-2</v>
      </c>
      <c r="AG8">
        <v>0.33496049752728763</v>
      </c>
      <c r="AH8">
        <v>8.7447490837972933E-3</v>
      </c>
      <c r="AI8">
        <v>0.3930191368022708</v>
      </c>
      <c r="AJ8">
        <v>6.5580239779248331E-2</v>
      </c>
      <c r="AK8">
        <v>0.33422460949753691</v>
      </c>
      <c r="AL8">
        <v>7.8728749137637073E-3</v>
      </c>
      <c r="AM8">
        <v>0.41151959877767491</v>
      </c>
      <c r="AN8">
        <v>5.543530762362598E-2</v>
      </c>
    </row>
    <row r="9" spans="1:40">
      <c r="A9">
        <v>48</v>
      </c>
      <c r="B9">
        <v>3.5199278689416831</v>
      </c>
      <c r="C9">
        <v>3.9052219284084919</v>
      </c>
      <c r="D9">
        <v>21.962021159974459</v>
      </c>
      <c r="E9">
        <v>0.86024835516052633</v>
      </c>
      <c r="F9">
        <v>0.921054381761785</v>
      </c>
      <c r="G9">
        <v>5.3355405640421756</v>
      </c>
      <c r="H9">
        <v>0.25</v>
      </c>
      <c r="I9">
        <v>0.55452682532047082</v>
      </c>
      <c r="J9">
        <v>0.25459999999999999</v>
      </c>
      <c r="K9">
        <v>0.55657779330476354</v>
      </c>
      <c r="L9">
        <v>0.8054</v>
      </c>
      <c r="M9">
        <v>0.98416102941176464</v>
      </c>
      <c r="N9">
        <v>0.80552249074032933</v>
      </c>
      <c r="O9">
        <v>0.99549050608305001</v>
      </c>
      <c r="P9">
        <v>0.80339375624799303</v>
      </c>
      <c r="Q9">
        <v>0.99546987249157504</v>
      </c>
      <c r="R9">
        <v>0.80850037432487143</v>
      </c>
      <c r="S9">
        <v>0.99555508729664521</v>
      </c>
      <c r="T9">
        <v>0.80638319681295145</v>
      </c>
      <c r="U9">
        <v>0.99553477819073743</v>
      </c>
      <c r="V9">
        <v>0.31246159457942541</v>
      </c>
      <c r="W9">
        <v>0.72</v>
      </c>
      <c r="X9">
        <v>0.28000000000000003</v>
      </c>
      <c r="Y9">
        <v>0.3347072030286693</v>
      </c>
      <c r="Z9">
        <v>8.0239135980838937E-3</v>
      </c>
      <c r="AA9">
        <v>0.3834683770402138</v>
      </c>
      <c r="AB9">
        <v>4.1676884330427433E-2</v>
      </c>
      <c r="AC9">
        <v>0.33379586286972368</v>
      </c>
      <c r="AD9">
        <v>6.6395423852338006E-3</v>
      </c>
      <c r="AE9">
        <v>0.41209546948851</v>
      </c>
      <c r="AF9">
        <v>3.1417653233027351E-2</v>
      </c>
      <c r="AG9">
        <v>0.33858305563476809</v>
      </c>
      <c r="AH9">
        <v>9.8846868690598364E-3</v>
      </c>
      <c r="AI9">
        <v>0.36200427399961738</v>
      </c>
      <c r="AJ9">
        <v>5.1650077174656223E-2</v>
      </c>
      <c r="AK9">
        <v>0.33767984165443388</v>
      </c>
      <c r="AL9">
        <v>9.2626348263183667E-3</v>
      </c>
      <c r="AM9">
        <v>0.38588102768468352</v>
      </c>
      <c r="AN9">
        <v>4.3747044414705651E-2</v>
      </c>
    </row>
    <row r="10" spans="1:40">
      <c r="A10">
        <v>54</v>
      </c>
      <c r="B10">
        <v>3.9894114324657148</v>
      </c>
      <c r="C10">
        <v>4.3655600717164704</v>
      </c>
      <c r="D10">
        <v>22.23190398099473</v>
      </c>
      <c r="E10">
        <v>0.94176391553610816</v>
      </c>
      <c r="F10">
        <v>1.01907505234836</v>
      </c>
      <c r="G10">
        <v>5.1915016461066443</v>
      </c>
      <c r="H10">
        <v>0.48</v>
      </c>
      <c r="I10">
        <v>0.78076885183772549</v>
      </c>
      <c r="J10">
        <v>0.48249999999999998</v>
      </c>
      <c r="K10">
        <v>0.78402407488545911</v>
      </c>
      <c r="L10">
        <v>0.66</v>
      </c>
      <c r="M10">
        <v>0.97331140350877199</v>
      </c>
      <c r="N10">
        <v>0.80131950298075905</v>
      </c>
      <c r="O10">
        <v>0.99270684805247689</v>
      </c>
      <c r="P10">
        <v>0.79963524186086188</v>
      </c>
      <c r="Q10">
        <v>0.99265554169674874</v>
      </c>
      <c r="R10">
        <v>0.80473081928256984</v>
      </c>
      <c r="S10">
        <v>0.99278241995650829</v>
      </c>
      <c r="T10">
        <v>0.80305570593347508</v>
      </c>
      <c r="U10">
        <v>0.99273176981645506</v>
      </c>
      <c r="V10">
        <v>0.57305531054456504</v>
      </c>
      <c r="W10">
        <v>0.51</v>
      </c>
      <c r="X10">
        <v>0.49</v>
      </c>
      <c r="Y10">
        <v>0.33428800416571358</v>
      </c>
      <c r="Z10">
        <v>6.3907986438941806E-3</v>
      </c>
      <c r="AA10">
        <v>0.40098687536047872</v>
      </c>
      <c r="AB10">
        <v>4.6955197276382053E-2</v>
      </c>
      <c r="AC10">
        <v>0.33283125873199132</v>
      </c>
      <c r="AD10">
        <v>5.1277357586475662E-3</v>
      </c>
      <c r="AE10">
        <v>0.42587021407750048</v>
      </c>
      <c r="AF10">
        <v>3.4803583345641993E-2</v>
      </c>
      <c r="AG10">
        <v>0.34011126855561352</v>
      </c>
      <c r="AH10">
        <v>1.0312975666366171E-2</v>
      </c>
      <c r="AI10">
        <v>0.3864070194153516</v>
      </c>
      <c r="AJ10">
        <v>5.5307769880943942E-2</v>
      </c>
      <c r="AK10">
        <v>0.33867276733855572</v>
      </c>
      <c r="AL10">
        <v>1.031027753819265E-2</v>
      </c>
      <c r="AM10">
        <v>0.40799420462028863</v>
      </c>
      <c r="AN10">
        <v>4.5516904616695358E-2</v>
      </c>
    </row>
    <row r="11" spans="1:40">
      <c r="A11">
        <v>60</v>
      </c>
      <c r="B11">
        <v>4.5658718654573978</v>
      </c>
      <c r="C11">
        <v>4.9642827982714186</v>
      </c>
      <c r="D11">
        <v>22.71561388258905</v>
      </c>
      <c r="E11">
        <v>0.66688089095313163</v>
      </c>
      <c r="F11">
        <v>0.6982176439671709</v>
      </c>
      <c r="G11">
        <v>3.2516341268654769</v>
      </c>
      <c r="H11">
        <v>0.64</v>
      </c>
      <c r="I11">
        <v>0.92217135067188016</v>
      </c>
      <c r="J11">
        <v>0.66310000000000002</v>
      </c>
      <c r="K11">
        <v>0.94021188569385794</v>
      </c>
      <c r="L11">
        <v>0.6018</v>
      </c>
      <c r="M11">
        <v>0.9669359523809522</v>
      </c>
      <c r="N11">
        <v>0.80150117569167834</v>
      </c>
      <c r="O11">
        <v>0.99060846123177526</v>
      </c>
      <c r="P11">
        <v>0.79959472835378698</v>
      </c>
      <c r="Q11">
        <v>0.99081429631328133</v>
      </c>
      <c r="R11">
        <v>0.80422084480933054</v>
      </c>
      <c r="S11">
        <v>0.99077384379673239</v>
      </c>
      <c r="T11">
        <v>0.80233972737817461</v>
      </c>
      <c r="U11">
        <v>0.99098273940425974</v>
      </c>
      <c r="V11">
        <v>0.93864853516544888</v>
      </c>
      <c r="W11">
        <v>0.38</v>
      </c>
      <c r="X11">
        <v>0.62</v>
      </c>
      <c r="Y11">
        <v>0.3357840539007656</v>
      </c>
      <c r="Z11">
        <v>6.7059098713534351E-3</v>
      </c>
      <c r="AA11">
        <v>0.38013735162453238</v>
      </c>
      <c r="AB11">
        <v>3.7754525421637659E-2</v>
      </c>
      <c r="AC11">
        <v>0.33451080298346503</v>
      </c>
      <c r="AD11">
        <v>5.282082952121357E-3</v>
      </c>
      <c r="AE11">
        <v>0.40914427349908161</v>
      </c>
      <c r="AF11">
        <v>2.8898494506866001E-2</v>
      </c>
      <c r="AG11">
        <v>0.33869063708985858</v>
      </c>
      <c r="AH11">
        <v>7.6618392425728257E-3</v>
      </c>
      <c r="AI11">
        <v>0.35720675175428618</v>
      </c>
      <c r="AJ11">
        <v>4.7771008097043773E-2</v>
      </c>
      <c r="AK11">
        <v>0.33743494571220839</v>
      </c>
      <c r="AL11">
        <v>6.8368713958521874E-3</v>
      </c>
      <c r="AM11">
        <v>0.38126084343798389</v>
      </c>
      <c r="AN11">
        <v>4.0977220136615457E-2</v>
      </c>
    </row>
    <row r="12" spans="1:40">
      <c r="A12">
        <v>66</v>
      </c>
      <c r="B12">
        <v>5.0562423933842204</v>
      </c>
      <c r="C12">
        <v>5.4406958565020318</v>
      </c>
      <c r="D12">
        <v>22.930204605022251</v>
      </c>
      <c r="E12">
        <v>0.79716740582437517</v>
      </c>
      <c r="F12">
        <v>0.83354180734501171</v>
      </c>
      <c r="G12">
        <v>3.469898880178103</v>
      </c>
      <c r="H12">
        <v>0.89</v>
      </c>
      <c r="I12">
        <v>1.018773772728764</v>
      </c>
      <c r="J12">
        <v>0.89970000000000006</v>
      </c>
      <c r="K12">
        <v>1.0200195635378759</v>
      </c>
      <c r="L12">
        <v>0.44540000000000002</v>
      </c>
      <c r="M12">
        <v>0.9592927630340673</v>
      </c>
      <c r="N12">
        <v>0.79823009998475414</v>
      </c>
      <c r="O12">
        <v>0.98872647443273165</v>
      </c>
      <c r="P12">
        <v>0.79697601260621809</v>
      </c>
      <c r="Q12">
        <v>0.98874729666586791</v>
      </c>
      <c r="R12">
        <v>0.8018674714265136</v>
      </c>
      <c r="S12">
        <v>0.98891977095144046</v>
      </c>
      <c r="T12">
        <v>0.80063518286241164</v>
      </c>
      <c r="U12">
        <v>0.98893813488863702</v>
      </c>
      <c r="V12">
        <v>1.346429783492765</v>
      </c>
      <c r="W12">
        <v>0.18999999999999989</v>
      </c>
      <c r="X12">
        <v>0.81</v>
      </c>
      <c r="Y12">
        <v>0.33432773260196591</v>
      </c>
      <c r="Z12">
        <v>6.4463355137321428E-3</v>
      </c>
      <c r="AA12">
        <v>0.38796620239519469</v>
      </c>
      <c r="AB12">
        <v>4.1100978427700857E-2</v>
      </c>
      <c r="AC12">
        <v>0.33325811243330572</v>
      </c>
      <c r="AD12">
        <v>5.361111986782221E-3</v>
      </c>
      <c r="AE12">
        <v>0.41738873863200848</v>
      </c>
      <c r="AF12">
        <v>3.066006009490552E-2</v>
      </c>
      <c r="AG12">
        <v>0.34040582255717311</v>
      </c>
      <c r="AH12">
        <v>9.3500929639012773E-3</v>
      </c>
      <c r="AI12">
        <v>0.36670402365641841</v>
      </c>
      <c r="AJ12">
        <v>4.889630529365338E-2</v>
      </c>
      <c r="AK12">
        <v>0.3393802795071017</v>
      </c>
      <c r="AL12">
        <v>8.9436939987845559E-3</v>
      </c>
      <c r="AM12">
        <v>0.39147948386618958</v>
      </c>
      <c r="AN12">
        <v>4.1090750932872767E-2</v>
      </c>
    </row>
    <row r="13" spans="1:40">
      <c r="A13">
        <v>72</v>
      </c>
      <c r="B13">
        <v>5.6685163094029223</v>
      </c>
      <c r="C13">
        <v>6.057797412868533</v>
      </c>
      <c r="D13">
        <v>23.459645366458499</v>
      </c>
      <c r="E13">
        <v>0.80091370972381259</v>
      </c>
      <c r="F13">
        <v>0.82552489954935582</v>
      </c>
      <c r="G13">
        <v>3.1566615797648558</v>
      </c>
      <c r="H13">
        <v>1.01</v>
      </c>
      <c r="I13">
        <v>1.0816191566350879</v>
      </c>
      <c r="J13">
        <v>1.0423</v>
      </c>
      <c r="K13">
        <v>1.0815316500223191</v>
      </c>
      <c r="L13">
        <v>0.40060000000000001</v>
      </c>
      <c r="M13">
        <v>0.95688653623188402</v>
      </c>
      <c r="N13">
        <v>0.79852542922240777</v>
      </c>
      <c r="O13">
        <v>0.98777987771352438</v>
      </c>
      <c r="P13">
        <v>0.79683391018684147</v>
      </c>
      <c r="Q13">
        <v>0.98795425713186891</v>
      </c>
      <c r="R13">
        <v>0.80153739573888805</v>
      </c>
      <c r="S13">
        <v>0.98797377342751047</v>
      </c>
      <c r="T13">
        <v>0.79986692740704091</v>
      </c>
      <c r="U13">
        <v>0.9881469513129072</v>
      </c>
      <c r="V13">
        <v>1.553985428318817</v>
      </c>
      <c r="W13">
        <v>0.11</v>
      </c>
      <c r="X13">
        <v>0.89</v>
      </c>
      <c r="Y13">
        <v>0.33577617159578638</v>
      </c>
      <c r="Z13">
        <v>6.7248155546687756E-3</v>
      </c>
      <c r="AA13">
        <v>0.3850810087342656</v>
      </c>
      <c r="AB13">
        <v>2.648225838888774E-2</v>
      </c>
      <c r="AC13">
        <v>0.33454680408852222</v>
      </c>
      <c r="AD13">
        <v>4.9776998743700776E-3</v>
      </c>
      <c r="AE13">
        <v>0.41381558207258951</v>
      </c>
      <c r="AF13">
        <v>1.980607498920342E-2</v>
      </c>
      <c r="AG13">
        <v>0.34045746519598719</v>
      </c>
      <c r="AH13">
        <v>7.6708610935181387E-3</v>
      </c>
      <c r="AI13">
        <v>0.36551431669083528</v>
      </c>
      <c r="AJ13">
        <v>3.5309617367823218E-2</v>
      </c>
      <c r="AK13">
        <v>0.339267019368654</v>
      </c>
      <c r="AL13">
        <v>7.049479007770738E-3</v>
      </c>
      <c r="AM13">
        <v>0.39012065340708257</v>
      </c>
      <c r="AN13">
        <v>3.0840897572954929E-2</v>
      </c>
    </row>
    <row r="14" spans="1:40">
      <c r="A14">
        <v>78</v>
      </c>
      <c r="B14">
        <v>5.8927270541165138</v>
      </c>
      <c r="C14">
        <v>6.2944564199667266</v>
      </c>
      <c r="D14">
        <v>22.644360425899329</v>
      </c>
      <c r="E14">
        <v>1.0376460931871949</v>
      </c>
      <c r="F14">
        <v>1.1095202844552621</v>
      </c>
      <c r="G14">
        <v>3.8738640149118688</v>
      </c>
      <c r="H14">
        <v>1.1499999999999999</v>
      </c>
      <c r="I14">
        <v>1.134680571791022</v>
      </c>
      <c r="J14">
        <v>1.2000999999999999</v>
      </c>
      <c r="K14">
        <v>1.167758532402996</v>
      </c>
      <c r="L14">
        <v>0.34749999999999998</v>
      </c>
      <c r="M14">
        <v>0.9540188148148151</v>
      </c>
      <c r="N14">
        <v>0.79858881239084534</v>
      </c>
      <c r="O14">
        <v>0.98671881097297698</v>
      </c>
      <c r="P14">
        <v>0.79670024323526867</v>
      </c>
      <c r="Q14">
        <v>0.98701893569117305</v>
      </c>
      <c r="R14">
        <v>0.8025680554125465</v>
      </c>
      <c r="S14">
        <v>0.98699219711618758</v>
      </c>
      <c r="T14">
        <v>0.80073293304250115</v>
      </c>
      <c r="U14">
        <v>0.98729055069820393</v>
      </c>
      <c r="V14">
        <v>1.7635396113798001</v>
      </c>
      <c r="W14">
        <v>9.9999999999999978E-2</v>
      </c>
      <c r="X14">
        <v>0.9</v>
      </c>
      <c r="Y14">
        <v>0.33515521139777832</v>
      </c>
      <c r="Z14">
        <v>6.8295598437884521E-3</v>
      </c>
      <c r="AA14">
        <v>0.37297469579691489</v>
      </c>
      <c r="AB14">
        <v>2.8256176788486239E-2</v>
      </c>
      <c r="AC14">
        <v>0.33382906806320212</v>
      </c>
      <c r="AD14">
        <v>5.6860374334763084E-3</v>
      </c>
      <c r="AE14">
        <v>0.40479010624294498</v>
      </c>
      <c r="AF14">
        <v>2.1400292815911711E-2</v>
      </c>
      <c r="AG14">
        <v>0.34108775241396438</v>
      </c>
      <c r="AH14">
        <v>9.1073778567174711E-3</v>
      </c>
      <c r="AI14">
        <v>0.35166225389117489</v>
      </c>
      <c r="AJ14">
        <v>3.4776770248153122E-2</v>
      </c>
      <c r="AK14">
        <v>0.33984880570647008</v>
      </c>
      <c r="AL14">
        <v>8.7709384152809735E-3</v>
      </c>
      <c r="AM14">
        <v>0.37848988695897878</v>
      </c>
      <c r="AN14">
        <v>3.0716692400183321E-2</v>
      </c>
    </row>
    <row r="15" spans="1:40">
      <c r="A15">
        <v>84</v>
      </c>
      <c r="B15">
        <v>6.6347349467082459</v>
      </c>
      <c r="C15">
        <v>7.0250935141760928</v>
      </c>
      <c r="D15">
        <v>23.664156862224051</v>
      </c>
      <c r="E15">
        <v>0.65952532676120712</v>
      </c>
      <c r="F15">
        <v>0.6538248480772223</v>
      </c>
      <c r="G15">
        <v>2.1511228992665079</v>
      </c>
      <c r="H15">
        <v>1.43</v>
      </c>
      <c r="I15">
        <v>1.305794777137663</v>
      </c>
      <c r="J15">
        <v>1.4539</v>
      </c>
      <c r="K15">
        <v>1.350805237626802</v>
      </c>
      <c r="L15">
        <v>0.23</v>
      </c>
      <c r="M15">
        <v>0.94814020707900015</v>
      </c>
      <c r="N15">
        <v>0.79596324717635758</v>
      </c>
      <c r="O15">
        <v>0.98562939866324029</v>
      </c>
      <c r="P15">
        <v>0.79458038739358494</v>
      </c>
      <c r="Q15">
        <v>0.98560169097529926</v>
      </c>
      <c r="R15">
        <v>0.80013459462474923</v>
      </c>
      <c r="S15">
        <v>0.9859508082025451</v>
      </c>
      <c r="T15">
        <v>0.79878630068391143</v>
      </c>
      <c r="U15">
        <v>0.98592644101335214</v>
      </c>
      <c r="V15">
        <v>2.0720250081382372</v>
      </c>
      <c r="W15">
        <v>3.000000000000003E-2</v>
      </c>
      <c r="X15">
        <v>0.97</v>
      </c>
      <c r="Y15">
        <v>0.33459539269127658</v>
      </c>
      <c r="Z15">
        <v>4.5909185337505024E-3</v>
      </c>
      <c r="AA15">
        <v>0.39097186580437909</v>
      </c>
      <c r="AB15">
        <v>3.9572187235967018E-2</v>
      </c>
      <c r="AC15">
        <v>0.33391511818299757</v>
      </c>
      <c r="AD15">
        <v>4.1206781529917053E-3</v>
      </c>
      <c r="AE15">
        <v>0.4191023665948595</v>
      </c>
      <c r="AF15">
        <v>2.9938894246862271E-2</v>
      </c>
      <c r="AG15">
        <v>0.33917488082869679</v>
      </c>
      <c r="AH15">
        <v>8.0504376626620855E-3</v>
      </c>
      <c r="AI15">
        <v>0.37052647702196362</v>
      </c>
      <c r="AJ15">
        <v>5.1207576349523207E-2</v>
      </c>
      <c r="AK15">
        <v>0.33850009971446771</v>
      </c>
      <c r="AL15">
        <v>8.1790297562492776E-3</v>
      </c>
      <c r="AM15">
        <v>0.3942150561260645</v>
      </c>
      <c r="AN15">
        <v>4.4541678078027933E-2</v>
      </c>
    </row>
    <row r="16" spans="1:40">
      <c r="A16">
        <v>90</v>
      </c>
      <c r="B16">
        <v>7.1082235560868234</v>
      </c>
      <c r="C16">
        <v>7.5188693727729961</v>
      </c>
      <c r="D16">
        <v>23.54868809938343</v>
      </c>
      <c r="E16">
        <v>0.67711880577210815</v>
      </c>
      <c r="F16">
        <v>0.66054067415624751</v>
      </c>
      <c r="G16">
        <v>2.0614775472531539</v>
      </c>
      <c r="H16">
        <v>1.1000000000000001</v>
      </c>
      <c r="I16">
        <v>0.98488578017961048</v>
      </c>
      <c r="J16">
        <v>1.1504000000000001</v>
      </c>
      <c r="K16">
        <v>1.01743788016763</v>
      </c>
      <c r="L16">
        <v>0.3271</v>
      </c>
      <c r="M16">
        <v>0.96188409436410838</v>
      </c>
      <c r="N16">
        <v>0.80009627728474753</v>
      </c>
      <c r="O16">
        <v>0.98888322377731108</v>
      </c>
      <c r="P16">
        <v>0.79849417513521881</v>
      </c>
      <c r="Q16">
        <v>0.98919127884914071</v>
      </c>
      <c r="R16">
        <v>0.8032677115440745</v>
      </c>
      <c r="S16">
        <v>0.98907407081031473</v>
      </c>
      <c r="T16">
        <v>0.80170209530280701</v>
      </c>
      <c r="U16">
        <v>0.98938476171853384</v>
      </c>
      <c r="V16">
        <v>2.124125902472239</v>
      </c>
      <c r="W16">
        <v>5.0000000000000037E-2</v>
      </c>
      <c r="X16">
        <v>0.95</v>
      </c>
      <c r="Y16">
        <v>0.33577729953876312</v>
      </c>
      <c r="Z16">
        <v>6.2431054991003952E-3</v>
      </c>
      <c r="AA16">
        <v>0.37776575255737349</v>
      </c>
      <c r="AB16">
        <v>3.5202760708491238E-2</v>
      </c>
      <c r="AC16">
        <v>0.33458048633057769</v>
      </c>
      <c r="AD16">
        <v>4.9326851300769614E-3</v>
      </c>
      <c r="AE16">
        <v>0.40805604664450751</v>
      </c>
      <c r="AF16">
        <v>2.687913196956055E-2</v>
      </c>
      <c r="AG16">
        <v>0.3402506821412043</v>
      </c>
      <c r="AH16">
        <v>7.3013727297518973E-3</v>
      </c>
      <c r="AI16">
        <v>0.35519323577184958</v>
      </c>
      <c r="AJ16">
        <v>4.6268129199856213E-2</v>
      </c>
      <c r="AK16">
        <v>0.33909127865535948</v>
      </c>
      <c r="AL16">
        <v>6.6429372511801633E-3</v>
      </c>
      <c r="AM16">
        <v>0.3803126586565867</v>
      </c>
      <c r="AN16">
        <v>4.049928193338629E-2</v>
      </c>
    </row>
    <row r="17" spans="1:40">
      <c r="A17">
        <v>96</v>
      </c>
      <c r="B17">
        <v>7.3484747217813444</v>
      </c>
      <c r="C17">
        <v>7.7450635063798901</v>
      </c>
      <c r="D17">
        <v>22.962112298173469</v>
      </c>
      <c r="E17">
        <v>0.99540842757647396</v>
      </c>
      <c r="F17">
        <v>1.024835952614962</v>
      </c>
      <c r="G17">
        <v>2.9987940385964018</v>
      </c>
      <c r="H17">
        <v>1.57</v>
      </c>
      <c r="I17">
        <v>1.274794101021808</v>
      </c>
      <c r="J17">
        <v>1.5849</v>
      </c>
      <c r="K17">
        <v>1.2763980531166601</v>
      </c>
      <c r="L17">
        <v>0.2351</v>
      </c>
      <c r="M17">
        <v>0.95042177724828947</v>
      </c>
      <c r="N17">
        <v>0.79722316541464155</v>
      </c>
      <c r="O17">
        <v>0.98624767906265665</v>
      </c>
      <c r="P17">
        <v>0.795176769328508</v>
      </c>
      <c r="Q17">
        <v>0.98619030248638906</v>
      </c>
      <c r="R17">
        <v>0.80090255462388182</v>
      </c>
      <c r="S17">
        <v>0.98654991395484903</v>
      </c>
      <c r="T17">
        <v>0.7988983796556044</v>
      </c>
      <c r="U17">
        <v>0.98649409597001181</v>
      </c>
      <c r="V17">
        <v>2.401797518503995</v>
      </c>
      <c r="W17">
        <v>3.000000000000003E-2</v>
      </c>
      <c r="X17">
        <v>0.97</v>
      </c>
      <c r="Y17">
        <v>0.33563187842714498</v>
      </c>
      <c r="Z17">
        <v>5.5492034640274371E-3</v>
      </c>
      <c r="AA17">
        <v>0.38576499331824859</v>
      </c>
      <c r="AB17">
        <v>3.7794984586586151E-2</v>
      </c>
      <c r="AC17">
        <v>0.33477800319209988</v>
      </c>
      <c r="AD17">
        <v>4.4650961637247031E-3</v>
      </c>
      <c r="AE17">
        <v>0.41409432798857659</v>
      </c>
      <c r="AF17">
        <v>2.815940959611421E-2</v>
      </c>
      <c r="AG17">
        <v>0.33960522527282228</v>
      </c>
      <c r="AH17">
        <v>6.7597688018735027E-3</v>
      </c>
      <c r="AI17">
        <v>0.36434864434665909</v>
      </c>
      <c r="AJ17">
        <v>4.7108986470834988E-2</v>
      </c>
      <c r="AK17">
        <v>0.33879048959539909</v>
      </c>
      <c r="AL17">
        <v>6.4894405061098077E-3</v>
      </c>
      <c r="AM17">
        <v>0.38809785108704747</v>
      </c>
      <c r="AN17">
        <v>3.9975367616663697E-2</v>
      </c>
    </row>
    <row r="18" spans="1:40">
      <c r="A18">
        <v>102</v>
      </c>
      <c r="B18">
        <v>7.8367433275444336</v>
      </c>
      <c r="C18">
        <v>8.2309657907890408</v>
      </c>
      <c r="D18">
        <v>22.92150652896877</v>
      </c>
      <c r="E18">
        <v>1.2898546713130099</v>
      </c>
      <c r="F18">
        <v>1.3628249879823431</v>
      </c>
      <c r="G18">
        <v>3.6748721415953609</v>
      </c>
      <c r="H18">
        <v>1.92</v>
      </c>
      <c r="I18">
        <v>1.2623787070447601</v>
      </c>
      <c r="J18">
        <v>1.9896</v>
      </c>
      <c r="K18">
        <v>1.2648683093508191</v>
      </c>
      <c r="L18">
        <v>9.6100000000000005E-2</v>
      </c>
      <c r="M18">
        <v>0.94182690730837781</v>
      </c>
      <c r="N18">
        <v>0.79481764114083742</v>
      </c>
      <c r="O18">
        <v>0.98348507523760964</v>
      </c>
      <c r="P18">
        <v>0.793395286195271</v>
      </c>
      <c r="Q18">
        <v>0.98366981089278049</v>
      </c>
      <c r="R18">
        <v>0.79850115011702494</v>
      </c>
      <c r="S18">
        <v>0.98382279786160831</v>
      </c>
      <c r="T18">
        <v>0.79710927738315707</v>
      </c>
      <c r="U18">
        <v>0.98400664300104801</v>
      </c>
      <c r="V18">
        <v>2.574765209983076</v>
      </c>
      <c r="W18">
        <v>0</v>
      </c>
      <c r="X18">
        <v>1</v>
      </c>
      <c r="Y18">
        <v>0.33763917896664691</v>
      </c>
      <c r="Z18">
        <v>6.7949008178275058E-3</v>
      </c>
      <c r="AA18">
        <v>0.3850094781307381</v>
      </c>
      <c r="AB18">
        <v>1.7329052408814029E-2</v>
      </c>
      <c r="AC18">
        <v>0.33691701312904659</v>
      </c>
      <c r="AD18">
        <v>6.0589822953671284E-3</v>
      </c>
      <c r="AE18">
        <v>0.41508934789369611</v>
      </c>
      <c r="AF18">
        <v>1.254849584805918E-2</v>
      </c>
      <c r="AG18">
        <v>0.34278532761808728</v>
      </c>
      <c r="AH18">
        <v>8.8256184174296225E-3</v>
      </c>
      <c r="AI18">
        <v>0.36291218954555088</v>
      </c>
      <c r="AJ18">
        <v>2.1190352168687279E-2</v>
      </c>
      <c r="AK18">
        <v>0.3420791429697041</v>
      </c>
      <c r="AL18">
        <v>8.5396412024043508E-3</v>
      </c>
      <c r="AM18">
        <v>0.38856184709354658</v>
      </c>
      <c r="AN18">
        <v>1.7997447232125749E-2</v>
      </c>
    </row>
    <row r="19" spans="1:40">
      <c r="A19">
        <v>108</v>
      </c>
      <c r="B19">
        <v>8.1368463631304309</v>
      </c>
      <c r="C19">
        <v>8.5381664409954325</v>
      </c>
      <c r="D19">
        <v>22.603928708387279</v>
      </c>
      <c r="E19">
        <v>1.325285855209704</v>
      </c>
      <c r="F19">
        <v>1.356717938160529</v>
      </c>
      <c r="G19">
        <v>3.5903788446472871</v>
      </c>
      <c r="H19">
        <v>1.68</v>
      </c>
      <c r="I19">
        <v>1.1214276615100951</v>
      </c>
      <c r="J19">
        <v>1.7012</v>
      </c>
      <c r="K19">
        <v>1.152006319427112</v>
      </c>
      <c r="L19">
        <v>0.14000000000000001</v>
      </c>
      <c r="M19">
        <v>0.9527509150127571</v>
      </c>
      <c r="N19">
        <v>0.79784719010847338</v>
      </c>
      <c r="O19">
        <v>0.98666374360410791</v>
      </c>
      <c r="P19">
        <v>0.79613036917552149</v>
      </c>
      <c r="Q19">
        <v>0.98674050506142175</v>
      </c>
      <c r="R19">
        <v>0.8024353783998267</v>
      </c>
      <c r="S19">
        <v>0.98699800441303742</v>
      </c>
      <c r="T19">
        <v>0.80078023947543953</v>
      </c>
      <c r="U19">
        <v>0.98707663720505934</v>
      </c>
      <c r="V19">
        <v>2.8144642710595078</v>
      </c>
      <c r="W19">
        <v>0</v>
      </c>
      <c r="X19">
        <v>1</v>
      </c>
      <c r="Y19">
        <v>0.33604737542158719</v>
      </c>
      <c r="Z19">
        <v>4.2955323221757682E-3</v>
      </c>
      <c r="AA19">
        <v>0.37222442857195542</v>
      </c>
      <c r="AB19">
        <v>3.7543116302821332E-2</v>
      </c>
      <c r="AC19">
        <v>0.33440706077138549</v>
      </c>
      <c r="AD19">
        <v>3.6547268939016099E-3</v>
      </c>
      <c r="AE19">
        <v>0.40398307370148812</v>
      </c>
      <c r="AF19">
        <v>2.8818793816489489E-2</v>
      </c>
      <c r="AG19">
        <v>0.34332710601736161</v>
      </c>
      <c r="AH19">
        <v>8.0349089852885889E-3</v>
      </c>
      <c r="AI19">
        <v>0.35098616911248348</v>
      </c>
      <c r="AJ19">
        <v>4.5991078133939649E-2</v>
      </c>
      <c r="AK19">
        <v>0.34191016146081837</v>
      </c>
      <c r="AL19">
        <v>7.3707766121569726E-3</v>
      </c>
      <c r="AM19">
        <v>0.3775326698682499</v>
      </c>
      <c r="AN19">
        <v>3.9176595200158613E-2</v>
      </c>
    </row>
    <row r="20" spans="1:40">
      <c r="A20">
        <v>114</v>
      </c>
      <c r="B20">
        <v>8.5084570785836124</v>
      </c>
      <c r="C20">
        <v>8.8845040563447135</v>
      </c>
      <c r="D20">
        <v>22.341837404468141</v>
      </c>
      <c r="E20">
        <v>1.4863582537881961</v>
      </c>
      <c r="F20">
        <v>1.557098448898584</v>
      </c>
      <c r="G20">
        <v>3.836063992218314</v>
      </c>
      <c r="H20">
        <v>2.04</v>
      </c>
      <c r="I20">
        <v>1.3410443691392171</v>
      </c>
      <c r="J20">
        <v>2.0798000000000001</v>
      </c>
      <c r="K20">
        <v>1.349085601435283</v>
      </c>
      <c r="L20">
        <v>0.09</v>
      </c>
      <c r="M20">
        <v>0.94538303120934708</v>
      </c>
      <c r="N20">
        <v>0.79597421111053424</v>
      </c>
      <c r="O20">
        <v>0.98448686984421352</v>
      </c>
      <c r="P20">
        <v>0.79437234717390914</v>
      </c>
      <c r="Q20">
        <v>0.98462668806655473</v>
      </c>
      <c r="R20">
        <v>0.80007227926213187</v>
      </c>
      <c r="S20">
        <v>0.98486229310081563</v>
      </c>
      <c r="T20">
        <v>0.79851619935808016</v>
      </c>
      <c r="U20">
        <v>0.98500582703038131</v>
      </c>
      <c r="V20">
        <v>2.943322566250079</v>
      </c>
      <c r="W20">
        <v>1.0000000000000011E-2</v>
      </c>
      <c r="X20">
        <v>0.99</v>
      </c>
      <c r="Y20">
        <v>0.33372057326120408</v>
      </c>
      <c r="Z20">
        <v>4.9853471087921682E-3</v>
      </c>
      <c r="AA20">
        <v>0.37321186433346992</v>
      </c>
      <c r="AB20">
        <v>1.7607331848451181E-2</v>
      </c>
      <c r="AC20">
        <v>0.3331198897938431</v>
      </c>
      <c r="AD20">
        <v>4.7942696839872786E-3</v>
      </c>
      <c r="AE20">
        <v>0.40405497969412718</v>
      </c>
      <c r="AF20">
        <v>1.430850621835783E-2</v>
      </c>
      <c r="AG20">
        <v>0.33879730942671238</v>
      </c>
      <c r="AH20">
        <v>6.9388282944139986E-3</v>
      </c>
      <c r="AI20">
        <v>0.35153390159518438</v>
      </c>
      <c r="AJ20">
        <v>2.263369683360569E-2</v>
      </c>
      <c r="AK20">
        <v>0.33834072566278101</v>
      </c>
      <c r="AL20">
        <v>5.9142348950964293E-3</v>
      </c>
      <c r="AM20">
        <v>0.37766319670433668</v>
      </c>
      <c r="AN20">
        <v>2.0910203383060821E-2</v>
      </c>
    </row>
    <row r="21" spans="1:40">
      <c r="A21">
        <v>120</v>
      </c>
      <c r="B21">
        <v>9.3961411545000413</v>
      </c>
      <c r="C21">
        <v>9.7967333876500113</v>
      </c>
      <c r="D21">
        <v>23.383141206356669</v>
      </c>
      <c r="E21">
        <v>1.0500165370998</v>
      </c>
      <c r="F21">
        <v>1.076392632737214</v>
      </c>
      <c r="G21">
        <v>2.526052240952013</v>
      </c>
      <c r="H21">
        <v>1.98</v>
      </c>
      <c r="I21">
        <v>1.3926952286842951</v>
      </c>
      <c r="J21">
        <v>2.0467</v>
      </c>
      <c r="K21">
        <v>1.4049623162206171</v>
      </c>
      <c r="L21">
        <v>0.12690000000000001</v>
      </c>
      <c r="M21">
        <v>0.9490468482533726</v>
      </c>
      <c r="N21">
        <v>0.79704912423024576</v>
      </c>
      <c r="O21">
        <v>0.98541086999364413</v>
      </c>
      <c r="P21">
        <v>0.79531554369487367</v>
      </c>
      <c r="Q21">
        <v>0.9857380516423333</v>
      </c>
      <c r="R21">
        <v>0.80025309112195842</v>
      </c>
      <c r="S21">
        <v>0.98563418224628496</v>
      </c>
      <c r="T21">
        <v>0.79856329044862484</v>
      </c>
      <c r="U21">
        <v>0.98595887036915197</v>
      </c>
      <c r="V21">
        <v>3.3564022884430149</v>
      </c>
      <c r="W21">
        <v>0</v>
      </c>
      <c r="X21">
        <v>1</v>
      </c>
      <c r="Y21">
        <v>0.3374625713382004</v>
      </c>
      <c r="Z21">
        <v>5.7518310250350719E-3</v>
      </c>
      <c r="AA21">
        <v>0.37317364996504598</v>
      </c>
      <c r="AB21">
        <v>2.1256678947788581E-2</v>
      </c>
      <c r="AC21">
        <v>0.33520761519545428</v>
      </c>
      <c r="AD21">
        <v>4.2608987987349453E-3</v>
      </c>
      <c r="AE21">
        <v>0.40413827177900702</v>
      </c>
      <c r="AF21">
        <v>1.498346128262517E-2</v>
      </c>
      <c r="AG21">
        <v>0.34249126458232931</v>
      </c>
      <c r="AH21">
        <v>6.9852139213592672E-3</v>
      </c>
      <c r="AI21">
        <v>0.35273124954749641</v>
      </c>
      <c r="AJ21">
        <v>3.2126169646836872E-2</v>
      </c>
      <c r="AK21">
        <v>0.3403444289196535</v>
      </c>
      <c r="AL21">
        <v>6.4149840600723112E-3</v>
      </c>
      <c r="AM21">
        <v>0.37890684476558678</v>
      </c>
      <c r="AN21">
        <v>2.8616564916029909E-2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3" width="12" bestFit="1" customWidth="1"/>
    <col min="4" max="4" width="11.34765625" bestFit="1" customWidth="1"/>
    <col min="5" max="7" width="12" bestFit="1" customWidth="1"/>
  </cols>
  <sheetData>
    <row r="1" spans="1:7">
      <c r="A1" s="1" t="s">
        <v>40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VLOOKUP($A2,'Case-1'!$A$1:$AN$21,2,FALSE)</f>
        <v>0.20692857142857141</v>
      </c>
      <c r="C2">
        <f>VLOOKUP($A2,'Case-2'!$A$1:$AN$21,2,FALSE)</f>
        <v>0.25666666666666671</v>
      </c>
      <c r="D2">
        <f>VLOOKUP($A2,'Case-3'!$A$1:$AN$21,2,FALSE)</f>
        <v>0.3085</v>
      </c>
      <c r="E2">
        <f>VLOOKUP($A2,'Case-4'!$A$1:$AN$21,2,FALSE)</f>
        <v>0.27816666666666662</v>
      </c>
      <c r="F2">
        <f>VLOOKUP($A2,'Case-5'!$A$1:$AN$21,2,FALSE)</f>
        <v>0.31926190476190469</v>
      </c>
      <c r="G2">
        <f>VLOOKUP($A2,'Case-6'!$A$1:$AN$21,2,FALSE)</f>
        <v>0.33983333333333332</v>
      </c>
    </row>
    <row r="3" spans="1:7">
      <c r="A3" s="3">
        <v>12</v>
      </c>
      <c r="B3">
        <f>VLOOKUP($A3,'Case-1'!$A$1:$AN$21,2,FALSE)</f>
        <v>0.58413636363636368</v>
      </c>
      <c r="C3">
        <f>VLOOKUP($A3,'Case-2'!$A$1:$AN$21,2,FALSE)</f>
        <v>0.58821761571761566</v>
      </c>
      <c r="D3">
        <f>VLOOKUP($A3,'Case-3'!$A$1:$AN$21,2,FALSE)</f>
        <v>0.62129315129315121</v>
      </c>
      <c r="E3">
        <f>VLOOKUP($A3,'Case-4'!$A$1:$AN$21,2,FALSE)</f>
        <v>0.62156395891690019</v>
      </c>
      <c r="F3">
        <f>VLOOKUP($A3,'Case-5'!$A$1:$AN$21,2,FALSE)</f>
        <v>0.65319841269841261</v>
      </c>
      <c r="G3">
        <f>VLOOKUP($A3,'Case-6'!$A$1:$AN$21,2,FALSE)</f>
        <v>0.70369841269841271</v>
      </c>
    </row>
    <row r="4" spans="1:7">
      <c r="A4" s="2">
        <v>18</v>
      </c>
      <c r="B4">
        <f>VLOOKUP($A4,'Case-1'!$A$1:$AN$21,2,FALSE)</f>
        <v>0.91362689992000323</v>
      </c>
      <c r="C4">
        <f>VLOOKUP($A4,'Case-2'!$A$1:$AN$21,2,FALSE)</f>
        <v>0.86107125724517031</v>
      </c>
      <c r="D4">
        <f>VLOOKUP($A4,'Case-3'!$A$1:$AN$21,2,FALSE)</f>
        <v>0.94238849299994809</v>
      </c>
      <c r="E4">
        <f>VLOOKUP($A4,'Case-4'!$A$1:$AN$21,2,FALSE)</f>
        <v>1.033196512697828</v>
      </c>
      <c r="F4">
        <f>VLOOKUP($A4,'Case-5'!$A$1:$AN$21,2,FALSE)</f>
        <v>1.0500884532134529</v>
      </c>
      <c r="G4">
        <f>VLOOKUP($A4,'Case-6'!$A$1:$AN$21,2,FALSE)</f>
        <v>1.1614266408853999</v>
      </c>
    </row>
    <row r="5" spans="1:7">
      <c r="A5" s="3">
        <v>24</v>
      </c>
      <c r="B5">
        <f>VLOOKUP($A5,'Case-1'!$A$1:$AN$21,2,FALSE)</f>
        <v>1.2895562341644959</v>
      </c>
      <c r="C5">
        <f>VLOOKUP($A5,'Case-2'!$A$1:$AN$21,2,FALSE)</f>
        <v>1.371508918911196</v>
      </c>
      <c r="D5">
        <f>VLOOKUP($A5,'Case-3'!$A$1:$AN$21,2,FALSE)</f>
        <v>1.319743094369187</v>
      </c>
      <c r="E5">
        <f>VLOOKUP($A5,'Case-4'!$A$1:$AN$21,2,FALSE)</f>
        <v>1.2684104280204029</v>
      </c>
      <c r="F5">
        <f>VLOOKUP($A5,'Case-5'!$A$1:$AN$21,2,FALSE)</f>
        <v>1.5124757339236281</v>
      </c>
      <c r="G5">
        <f>VLOOKUP($A5,'Case-6'!$A$1:$AN$21,2,FALSE)</f>
        <v>1.612786807255568</v>
      </c>
    </row>
    <row r="6" spans="1:7">
      <c r="A6" s="2">
        <v>30</v>
      </c>
      <c r="B6">
        <f>VLOOKUP($A6,'Case-1'!$A$1:$AN$21,2,FALSE)</f>
        <v>1.7976594256823519</v>
      </c>
      <c r="C6">
        <f>VLOOKUP($A6,'Case-2'!$A$1:$AN$21,2,FALSE)</f>
        <v>1.8012147432512839</v>
      </c>
      <c r="D6">
        <f>VLOOKUP($A6,'Case-3'!$A$1:$AN$21,2,FALSE)</f>
        <v>1.6394140082654169</v>
      </c>
      <c r="E6">
        <f>VLOOKUP($A6,'Case-4'!$A$1:$AN$21,2,FALSE)</f>
        <v>1.7322187893741949</v>
      </c>
      <c r="F6">
        <f>VLOOKUP($A6,'Case-5'!$A$1:$AN$21,2,FALSE)</f>
        <v>1.9881277995478861</v>
      </c>
      <c r="G6">
        <f>VLOOKUP($A6,'Case-6'!$A$1:$AN$21,2,FALSE)</f>
        <v>2.1478915209038858</v>
      </c>
    </row>
    <row r="7" spans="1:7">
      <c r="A7" s="3">
        <v>36</v>
      </c>
      <c r="B7">
        <f>VLOOKUP($A7,'Case-1'!$A$1:$AN$21,2,FALSE)</f>
        <v>2.1317681593264828</v>
      </c>
      <c r="C7">
        <f>VLOOKUP($A7,'Case-2'!$A$1:$AN$21,2,FALSE)</f>
        <v>2.173368819117651</v>
      </c>
      <c r="D7">
        <f>VLOOKUP($A7,'Case-3'!$A$1:$AN$21,2,FALSE)</f>
        <v>2.3169566946011688</v>
      </c>
      <c r="E7">
        <f>VLOOKUP($A7,'Case-4'!$A$1:$AN$21,2,FALSE)</f>
        <v>2.3534803672922</v>
      </c>
      <c r="F7">
        <f>VLOOKUP($A7,'Case-5'!$A$1:$AN$21,2,FALSE)</f>
        <v>2.5869531623363771</v>
      </c>
      <c r="G7">
        <f>VLOOKUP($A7,'Case-6'!$A$1:$AN$21,2,FALSE)</f>
        <v>2.7130774364459338</v>
      </c>
    </row>
    <row r="8" spans="1:7">
      <c r="A8" s="2">
        <v>42</v>
      </c>
      <c r="B8">
        <f>VLOOKUP($A8,'Case-1'!$A$1:$AN$21,2,FALSE)</f>
        <v>2.3435173796809861</v>
      </c>
      <c r="C8">
        <f>VLOOKUP($A8,'Case-2'!$A$1:$AN$21,2,FALSE)</f>
        <v>2.5080932352380358</v>
      </c>
      <c r="D8">
        <f>VLOOKUP($A8,'Case-3'!$A$1:$AN$21,2,FALSE)</f>
        <v>2.6054956804013178</v>
      </c>
      <c r="E8">
        <f>VLOOKUP($A8,'Case-4'!$A$1:$AN$21,2,FALSE)</f>
        <v>2.8380854982431658</v>
      </c>
      <c r="F8">
        <f>VLOOKUP($A8,'Case-5'!$A$1:$AN$21,2,FALSE)</f>
        <v>2.8497711256660732</v>
      </c>
      <c r="G8">
        <f>VLOOKUP($A8,'Case-6'!$A$1:$AN$21,2,FALSE)</f>
        <v>3.2620649901551508</v>
      </c>
    </row>
    <row r="9" spans="1:7">
      <c r="A9" s="3">
        <v>48</v>
      </c>
      <c r="B9">
        <f>VLOOKUP($A9,'Case-1'!$A$1:$AN$21,2,FALSE)</f>
        <v>3.0349947884855881</v>
      </c>
      <c r="C9">
        <f>VLOOKUP($A9,'Case-2'!$A$1:$AN$21,2,FALSE)</f>
        <v>3.0363998784813231</v>
      </c>
      <c r="D9">
        <f>VLOOKUP($A9,'Case-3'!$A$1:$AN$21,2,FALSE)</f>
        <v>3.1064717099573289</v>
      </c>
      <c r="E9">
        <f>VLOOKUP($A9,'Case-4'!$A$1:$AN$21,2,FALSE)</f>
        <v>3.2964915322635631</v>
      </c>
      <c r="F9">
        <f>VLOOKUP($A9,'Case-5'!$A$1:$AN$21,2,FALSE)</f>
        <v>3.274752707066416</v>
      </c>
      <c r="G9">
        <f>VLOOKUP($A9,'Case-6'!$A$1:$AN$21,2,FALSE)</f>
        <v>3.5199278689416831</v>
      </c>
    </row>
    <row r="10" spans="1:7">
      <c r="A10" s="2">
        <v>54</v>
      </c>
      <c r="B10">
        <f>VLOOKUP($A10,'Case-1'!$A$1:$AN$21,2,FALSE)</f>
        <v>3.1865045126035798</v>
      </c>
      <c r="C10">
        <f>VLOOKUP($A10,'Case-2'!$A$1:$AN$21,2,FALSE)</f>
        <v>3.40773484445995</v>
      </c>
      <c r="D10">
        <f>VLOOKUP($A10,'Case-3'!$A$1:$AN$21,2,FALSE)</f>
        <v>3.4859286599600519</v>
      </c>
      <c r="E10">
        <f>VLOOKUP($A10,'Case-4'!$A$1:$AN$21,2,FALSE)</f>
        <v>3.6649526671784871</v>
      </c>
      <c r="F10">
        <f>VLOOKUP($A10,'Case-5'!$A$1:$AN$21,2,FALSE)</f>
        <v>3.8639601923819451</v>
      </c>
      <c r="G10">
        <f>VLOOKUP($A10,'Case-6'!$A$1:$AN$21,2,FALSE)</f>
        <v>3.9894114324657148</v>
      </c>
    </row>
    <row r="11" spans="1:7">
      <c r="A11" s="3">
        <v>60</v>
      </c>
      <c r="B11">
        <f>VLOOKUP($A11,'Case-1'!$A$1:$AN$21,2,FALSE)</f>
        <v>3.7070768803527989</v>
      </c>
      <c r="C11">
        <f>VLOOKUP($A11,'Case-2'!$A$1:$AN$21,2,FALSE)</f>
        <v>3.7554390615224111</v>
      </c>
      <c r="D11">
        <f>VLOOKUP($A11,'Case-3'!$A$1:$AN$21,2,FALSE)</f>
        <v>3.999467913146447</v>
      </c>
      <c r="E11">
        <f>VLOOKUP($A11,'Case-4'!$A$1:$AN$21,2,FALSE)</f>
        <v>4.155508428844076</v>
      </c>
      <c r="F11">
        <f>VLOOKUP($A11,'Case-5'!$A$1:$AN$21,2,FALSE)</f>
        <v>4.2814521489844761</v>
      </c>
      <c r="G11">
        <f>VLOOKUP($A11,'Case-6'!$A$1:$AN$21,2,FALSE)</f>
        <v>4.5658718654573978</v>
      </c>
    </row>
    <row r="12" spans="1:7">
      <c r="A12" s="2">
        <v>66</v>
      </c>
      <c r="B12">
        <f>VLOOKUP($A12,'Case-1'!$A$1:$AN$21,2,FALSE)</f>
        <v>4.1243739474820771</v>
      </c>
      <c r="C12">
        <f>VLOOKUP($A12,'Case-2'!$A$1:$AN$21,2,FALSE)</f>
        <v>4.3101184473050891</v>
      </c>
      <c r="D12">
        <f>VLOOKUP($A12,'Case-3'!$A$1:$AN$21,2,FALSE)</f>
        <v>4.3889418136556992</v>
      </c>
      <c r="E12">
        <f>VLOOKUP($A12,'Case-4'!$A$1:$AN$21,2,FALSE)</f>
        <v>4.474029080842449</v>
      </c>
      <c r="F12">
        <f>VLOOKUP($A12,'Case-5'!$A$1:$AN$21,2,FALSE)</f>
        <v>4.8462142523737812</v>
      </c>
      <c r="G12">
        <f>VLOOKUP($A12,'Case-6'!$A$1:$AN$21,2,FALSE)</f>
        <v>5.0562423933842204</v>
      </c>
    </row>
    <row r="13" spans="1:7">
      <c r="A13" s="3">
        <v>72</v>
      </c>
      <c r="B13">
        <f>VLOOKUP($A13,'Case-1'!$A$1:$AN$21,2,FALSE)</f>
        <v>4.5981307091530752</v>
      </c>
      <c r="C13">
        <f>VLOOKUP($A13,'Case-2'!$A$1:$AN$21,2,FALSE)</f>
        <v>4.6348767886581888</v>
      </c>
      <c r="D13">
        <f>VLOOKUP($A13,'Case-3'!$A$1:$AN$21,2,FALSE)</f>
        <v>5.0541741193088772</v>
      </c>
      <c r="E13">
        <f>VLOOKUP($A13,'Case-4'!$A$1:$AN$21,2,FALSE)</f>
        <v>4.969812760562931</v>
      </c>
      <c r="F13">
        <f>VLOOKUP($A13,'Case-5'!$A$1:$AN$21,2,FALSE)</f>
        <v>5.4179691073822243</v>
      </c>
      <c r="G13">
        <f>VLOOKUP($A13,'Case-6'!$A$1:$AN$21,2,FALSE)</f>
        <v>5.6685163094029223</v>
      </c>
    </row>
    <row r="14" spans="1:7">
      <c r="A14" s="2">
        <v>78</v>
      </c>
      <c r="B14">
        <f>VLOOKUP($A14,'Case-1'!$A$1:$AN$21,2,FALSE)</f>
        <v>4.5874923907442744</v>
      </c>
      <c r="C14">
        <f>VLOOKUP($A14,'Case-2'!$A$1:$AN$21,2,FALSE)</f>
        <v>5.0584589691994566</v>
      </c>
      <c r="D14">
        <f>VLOOKUP($A14,'Case-3'!$A$1:$AN$21,2,FALSE)</f>
        <v>5.2839553021706207</v>
      </c>
      <c r="E14">
        <f>VLOOKUP($A14,'Case-4'!$A$1:$AN$21,2,FALSE)</f>
        <v>5.2200088449172846</v>
      </c>
      <c r="F14">
        <f>VLOOKUP($A14,'Case-5'!$A$1:$AN$21,2,FALSE)</f>
        <v>5.6739594561352389</v>
      </c>
      <c r="G14">
        <f>VLOOKUP($A14,'Case-6'!$A$1:$AN$21,2,FALSE)</f>
        <v>5.8927270541165138</v>
      </c>
    </row>
    <row r="15" spans="1:7">
      <c r="A15" s="3">
        <v>84</v>
      </c>
      <c r="B15">
        <f>VLOOKUP($A15,'Case-1'!$A$1:$AN$21,2,FALSE)</f>
        <v>5.4693868097650542</v>
      </c>
      <c r="C15">
        <f>VLOOKUP($A15,'Case-2'!$A$1:$AN$21,2,FALSE)</f>
        <v>5.2385847967839503</v>
      </c>
      <c r="D15">
        <f>VLOOKUP($A15,'Case-3'!$A$1:$AN$21,2,FALSE)</f>
        <v>5.5182381245667784</v>
      </c>
      <c r="E15">
        <f>VLOOKUP($A15,'Case-4'!$A$1:$AN$21,2,FALSE)</f>
        <v>5.6874035269448688</v>
      </c>
      <c r="F15">
        <f>VLOOKUP($A15,'Case-5'!$A$1:$AN$21,2,FALSE)</f>
        <v>6.2264384472277117</v>
      </c>
      <c r="G15">
        <f>VLOOKUP($A15,'Case-6'!$A$1:$AN$21,2,FALSE)</f>
        <v>6.6347349467082459</v>
      </c>
    </row>
    <row r="16" spans="1:7">
      <c r="A16" s="2">
        <v>90</v>
      </c>
      <c r="B16">
        <f>VLOOKUP($A16,'Case-1'!$A$1:$AN$21,2,FALSE)</f>
        <v>5.751135042416923</v>
      </c>
      <c r="C16">
        <f>VLOOKUP($A16,'Case-2'!$A$1:$AN$21,2,FALSE)</f>
        <v>6.1501393527063417</v>
      </c>
      <c r="D16">
        <f>VLOOKUP($A16,'Case-3'!$A$1:$AN$21,2,FALSE)</f>
        <v>5.8899702895148218</v>
      </c>
      <c r="E16">
        <f>VLOOKUP($A16,'Case-4'!$A$1:$AN$21,2,FALSE)</f>
        <v>6.3393058227823049</v>
      </c>
      <c r="F16">
        <f>VLOOKUP($A16,'Case-5'!$A$1:$AN$21,2,FALSE)</f>
        <v>6.5740841169856568</v>
      </c>
      <c r="G16">
        <f>VLOOKUP($A16,'Case-6'!$A$1:$AN$21,2,FALSE)</f>
        <v>7.1082235560868234</v>
      </c>
    </row>
    <row r="17" spans="1:7">
      <c r="A17" s="3">
        <v>96</v>
      </c>
      <c r="B17">
        <f>VLOOKUP($A17,'Case-1'!$A$1:$AN$21,2,FALSE)</f>
        <v>6.0582453407284103</v>
      </c>
      <c r="C17">
        <f>VLOOKUP($A17,'Case-2'!$A$1:$AN$21,2,FALSE)</f>
        <v>6.3579432224772949</v>
      </c>
      <c r="D17">
        <f>VLOOKUP($A17,'Case-3'!$A$1:$AN$21,2,FALSE)</f>
        <v>6.6440341880106484</v>
      </c>
      <c r="E17">
        <f>VLOOKUP($A17,'Case-4'!$A$1:$AN$21,2,FALSE)</f>
        <v>6.5336589117713473</v>
      </c>
      <c r="F17">
        <f>VLOOKUP($A17,'Case-5'!$A$1:$AN$21,2,FALSE)</f>
        <v>6.897518705650409</v>
      </c>
      <c r="G17">
        <f>VLOOKUP($A17,'Case-6'!$A$1:$AN$21,2,FALSE)</f>
        <v>7.3484747217813444</v>
      </c>
    </row>
    <row r="18" spans="1:7">
      <c r="A18" s="2">
        <v>102</v>
      </c>
      <c r="B18">
        <f>VLOOKUP($A18,'Case-1'!$A$1:$AN$21,2,FALSE)</f>
        <v>6.5574177134707679</v>
      </c>
      <c r="C18">
        <f>VLOOKUP($A18,'Case-2'!$A$1:$AN$21,2,FALSE)</f>
        <v>6.9537691029843014</v>
      </c>
      <c r="D18">
        <f>VLOOKUP($A18,'Case-3'!$A$1:$AN$21,2,FALSE)</f>
        <v>6.7530706179006756</v>
      </c>
      <c r="E18">
        <f>VLOOKUP($A18,'Case-4'!$A$1:$AN$21,2,FALSE)</f>
        <v>7.1285780571637956</v>
      </c>
      <c r="F18">
        <f>VLOOKUP($A18,'Case-5'!$A$1:$AN$21,2,FALSE)</f>
        <v>7.4123892520933978</v>
      </c>
      <c r="G18">
        <f>VLOOKUP($A18,'Case-6'!$A$1:$AN$21,2,FALSE)</f>
        <v>7.8367433275444336</v>
      </c>
    </row>
    <row r="19" spans="1:7">
      <c r="A19" s="3">
        <v>108</v>
      </c>
      <c r="B19">
        <f>VLOOKUP($A19,'Case-1'!$A$1:$AN$21,2,FALSE)</f>
        <v>6.883650609804449</v>
      </c>
      <c r="C19">
        <f>VLOOKUP($A19,'Case-2'!$A$1:$AN$21,2,FALSE)</f>
        <v>7.1177304684488956</v>
      </c>
      <c r="D19">
        <f>VLOOKUP($A19,'Case-3'!$A$1:$AN$21,2,FALSE)</f>
        <v>7.1418056498539162</v>
      </c>
      <c r="E19">
        <f>VLOOKUP($A19,'Case-4'!$A$1:$AN$21,2,FALSE)</f>
        <v>7.6281783464678981</v>
      </c>
      <c r="F19">
        <f>VLOOKUP($A19,'Case-5'!$A$1:$AN$21,2,FALSE)</f>
        <v>8.0938888238566484</v>
      </c>
      <c r="G19">
        <f>VLOOKUP($A19,'Case-6'!$A$1:$AN$21,2,FALSE)</f>
        <v>8.1368463631304309</v>
      </c>
    </row>
    <row r="20" spans="1:7">
      <c r="A20" s="2">
        <v>114</v>
      </c>
      <c r="B20">
        <f>VLOOKUP($A20,'Case-1'!$A$1:$AN$21,2,FALSE)</f>
        <v>7.5431889634689409</v>
      </c>
      <c r="C20">
        <f>VLOOKUP($A20,'Case-2'!$A$1:$AN$21,2,FALSE)</f>
        <v>7.7299576853467213</v>
      </c>
      <c r="D20">
        <f>VLOOKUP($A20,'Case-3'!$A$1:$AN$21,2,FALSE)</f>
        <v>7.6617866404418304</v>
      </c>
      <c r="E20">
        <f>VLOOKUP($A20,'Case-4'!$A$1:$AN$21,2,FALSE)</f>
        <v>7.8573194050078348</v>
      </c>
      <c r="F20">
        <f>VLOOKUP($A20,'Case-5'!$A$1:$AN$21,2,FALSE)</f>
        <v>8.4025465999443743</v>
      </c>
      <c r="G20">
        <f>VLOOKUP($A20,'Case-6'!$A$1:$AN$21,2,FALSE)</f>
        <v>8.5084570785836124</v>
      </c>
    </row>
    <row r="21" spans="1:7">
      <c r="A21" s="3">
        <v>120</v>
      </c>
      <c r="B21">
        <f>VLOOKUP($A21,'Case-1'!$A$1:$AN$21,2,FALSE)</f>
        <v>7.9160602729521621</v>
      </c>
      <c r="C21">
        <f>VLOOKUP($A21,'Case-2'!$A$1:$AN$21,2,FALSE)</f>
        <v>7.6764182546980866</v>
      </c>
      <c r="D21">
        <f>VLOOKUP($A21,'Case-3'!$A$1:$AN$21,2,FALSE)</f>
        <v>8.2717820876535058</v>
      </c>
      <c r="E21">
        <f>VLOOKUP($A21,'Case-4'!$A$1:$AN$21,2,FALSE)</f>
        <v>8.3896201342606336</v>
      </c>
      <c r="F21">
        <f>VLOOKUP($A21,'Case-5'!$A$1:$AN$21,2,FALSE)</f>
        <v>8.7142583760807302</v>
      </c>
      <c r="G21">
        <f>VLOOKUP($A21,'Case-6'!$A$1:$AN$21,2,FALSE)</f>
        <v>9.3961411545000413</v>
      </c>
    </row>
    <row r="22" spans="1:7">
      <c r="B22">
        <f>AVERAGE(B2:B21)</f>
        <v>3.9342425507633685</v>
      </c>
      <c r="C22">
        <f t="shared" ref="C22:G22" si="0">AVERAGE(C2:C21)</f>
        <v>4.0493856064609819</v>
      </c>
      <c r="D22">
        <f t="shared" si="0"/>
        <v>4.1476709119035693</v>
      </c>
      <c r="E22">
        <f t="shared" si="0"/>
        <v>4.2734994870109411</v>
      </c>
      <c r="F22">
        <f t="shared" si="0"/>
        <v>4.5319654389155364</v>
      </c>
      <c r="G22">
        <f t="shared" si="0"/>
        <v>4.7801548606890538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9B98-1744-4E98-8F87-8129EE0E983E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VLOOKUP($A2,'Case-1'!$A$1:$AN$21,3,FALSE)</f>
        <v>0.26783288033429292</v>
      </c>
      <c r="C2">
        <f>VLOOKUP($A2,'Case-2'!$A$1:$AN$21,3,FALSE)</f>
        <v>0.32916674706866139</v>
      </c>
      <c r="D2">
        <f>VLOOKUP($A2,'Case-3'!$A$1:$AN$21,3,FALSE)</f>
        <v>0.4008072665149312</v>
      </c>
      <c r="E2">
        <f>VLOOKUP($A2,'Case-4'!$A$1:$AN$21,3,FALSE)</f>
        <v>0.36029735314307748</v>
      </c>
      <c r="F2">
        <f>VLOOKUP($A2,'Case-5'!$A$1:$AN$21,3,FALSE)</f>
        <v>0.42356752608639447</v>
      </c>
      <c r="G2">
        <f>VLOOKUP($A2,'Case-6'!$A$1:$AN$21,3,FALSE)</f>
        <v>0.43962442514947159</v>
      </c>
    </row>
    <row r="3" spans="1:7">
      <c r="A3" s="3">
        <v>12</v>
      </c>
      <c r="B3">
        <f>VLOOKUP($A3,'Case-1'!$A$1:$AN$21,3,FALSE)</f>
        <v>0.71969885084012175</v>
      </c>
      <c r="C3">
        <f>VLOOKUP($A3,'Case-2'!$A$1:$AN$21,3,FALSE)</f>
        <v>0.74346674545162372</v>
      </c>
      <c r="D3">
        <f>VLOOKUP($A3,'Case-3'!$A$1:$AN$21,3,FALSE)</f>
        <v>0.78084146321646675</v>
      </c>
      <c r="E3">
        <f>VLOOKUP($A3,'Case-4'!$A$1:$AN$21,3,FALSE)</f>
        <v>0.78268346677814404</v>
      </c>
      <c r="F3">
        <f>VLOOKUP($A3,'Case-5'!$A$1:$AN$21,3,FALSE)</f>
        <v>0.8254080039184285</v>
      </c>
      <c r="G3">
        <f>VLOOKUP($A3,'Case-6'!$A$1:$AN$21,3,FALSE)</f>
        <v>0.88420239851025595</v>
      </c>
    </row>
    <row r="4" spans="1:7">
      <c r="A4" s="2">
        <v>18</v>
      </c>
      <c r="B4">
        <f>VLOOKUP($A4,'Case-1'!$A$1:$AN$21,3,FALSE)</f>
        <v>1.1251491961787079</v>
      </c>
      <c r="C4">
        <f>VLOOKUP($A4,'Case-2'!$A$1:$AN$21,3,FALSE)</f>
        <v>1.057428339066838</v>
      </c>
      <c r="D4">
        <f>VLOOKUP($A4,'Case-3'!$A$1:$AN$21,3,FALSE)</f>
        <v>1.154218780997748</v>
      </c>
      <c r="E4">
        <f>VLOOKUP($A4,'Case-4'!$A$1:$AN$21,3,FALSE)</f>
        <v>1.2823090808195079</v>
      </c>
      <c r="F4">
        <f>VLOOKUP($A4,'Case-5'!$A$1:$AN$21,3,FALSE)</f>
        <v>1.2863464732502661</v>
      </c>
      <c r="G4">
        <f>VLOOKUP($A4,'Case-6'!$A$1:$AN$21,3,FALSE)</f>
        <v>1.423825631762702</v>
      </c>
    </row>
    <row r="5" spans="1:7">
      <c r="A5" s="3">
        <v>24</v>
      </c>
      <c r="B5">
        <f>VLOOKUP($A5,'Case-1'!$A$1:$AN$21,3,FALSE)</f>
        <v>1.56717146193766</v>
      </c>
      <c r="C5">
        <f>VLOOKUP($A5,'Case-2'!$A$1:$AN$21,3,FALSE)</f>
        <v>1.6416941442213671</v>
      </c>
      <c r="D5">
        <f>VLOOKUP($A5,'Case-3'!$A$1:$AN$21,3,FALSE)</f>
        <v>1.599201734959838</v>
      </c>
      <c r="E5">
        <f>VLOOKUP($A5,'Case-4'!$A$1:$AN$21,3,FALSE)</f>
        <v>1.5276988332639641</v>
      </c>
      <c r="F5">
        <f>VLOOKUP($A5,'Case-5'!$A$1:$AN$21,3,FALSE)</f>
        <v>1.801383156480705</v>
      </c>
      <c r="G5">
        <f>VLOOKUP($A5,'Case-6'!$A$1:$AN$21,3,FALSE)</f>
        <v>1.899724237225169</v>
      </c>
    </row>
    <row r="6" spans="1:7">
      <c r="A6" s="2">
        <v>30</v>
      </c>
      <c r="B6">
        <f>VLOOKUP($A6,'Case-1'!$A$1:$AN$21,3,FALSE)</f>
        <v>2.103225814777169</v>
      </c>
      <c r="C6">
        <f>VLOOKUP($A6,'Case-2'!$A$1:$AN$21,3,FALSE)</f>
        <v>2.1087958215042502</v>
      </c>
      <c r="D6">
        <f>VLOOKUP($A6,'Case-3'!$A$1:$AN$21,3,FALSE)</f>
        <v>1.9516946389262531</v>
      </c>
      <c r="E6">
        <f>VLOOKUP($A6,'Case-4'!$A$1:$AN$21,3,FALSE)</f>
        <v>2.0421040511749982</v>
      </c>
      <c r="F6">
        <f>VLOOKUP($A6,'Case-5'!$A$1:$AN$21,3,FALSE)</f>
        <v>2.334329508389521</v>
      </c>
      <c r="G6">
        <f>VLOOKUP($A6,'Case-6'!$A$1:$AN$21,3,FALSE)</f>
        <v>2.4813562216353962</v>
      </c>
    </row>
    <row r="7" spans="1:7">
      <c r="A7" s="3">
        <v>36</v>
      </c>
      <c r="B7">
        <f>VLOOKUP($A7,'Case-1'!$A$1:$AN$21,3,FALSE)</f>
        <v>2.4620914266425489</v>
      </c>
      <c r="C7">
        <f>VLOOKUP($A7,'Case-2'!$A$1:$AN$21,3,FALSE)</f>
        <v>2.529506689918009</v>
      </c>
      <c r="D7">
        <f>VLOOKUP($A7,'Case-3'!$A$1:$AN$21,3,FALSE)</f>
        <v>2.646016177533637</v>
      </c>
      <c r="E7">
        <f>VLOOKUP($A7,'Case-4'!$A$1:$AN$21,3,FALSE)</f>
        <v>2.6850795408490131</v>
      </c>
      <c r="F7">
        <f>VLOOKUP($A7,'Case-5'!$A$1:$AN$21,3,FALSE)</f>
        <v>2.960322468948386</v>
      </c>
      <c r="G7">
        <f>VLOOKUP($A7,'Case-6'!$A$1:$AN$21,3,FALSE)</f>
        <v>3.1045694678687328</v>
      </c>
    </row>
    <row r="8" spans="1:7">
      <c r="A8" s="2">
        <v>42</v>
      </c>
      <c r="B8">
        <f>VLOOKUP($A8,'Case-1'!$A$1:$AN$21,3,FALSE)</f>
        <v>2.6866120567468812</v>
      </c>
      <c r="C8">
        <f>VLOOKUP($A8,'Case-2'!$A$1:$AN$21,3,FALSE)</f>
        <v>2.8441964543614091</v>
      </c>
      <c r="D8">
        <f>VLOOKUP($A8,'Case-3'!$A$1:$AN$21,3,FALSE)</f>
        <v>2.9838235082973639</v>
      </c>
      <c r="E8">
        <f>VLOOKUP($A8,'Case-4'!$A$1:$AN$21,3,FALSE)</f>
        <v>3.2008317205747052</v>
      </c>
      <c r="F8">
        <f>VLOOKUP($A8,'Case-5'!$A$1:$AN$21,3,FALSE)</f>
        <v>3.2002856793003831</v>
      </c>
      <c r="G8">
        <f>VLOOKUP($A8,'Case-6'!$A$1:$AN$21,3,FALSE)</f>
        <v>3.638327453860009</v>
      </c>
    </row>
    <row r="9" spans="1:7">
      <c r="A9" s="3">
        <v>48</v>
      </c>
      <c r="B9">
        <f>VLOOKUP($A9,'Case-1'!$A$1:$AN$21,3,FALSE)</f>
        <v>3.3968738853590379</v>
      </c>
      <c r="C9">
        <f>VLOOKUP($A9,'Case-2'!$A$1:$AN$21,3,FALSE)</f>
        <v>3.397622381633683</v>
      </c>
      <c r="D9">
        <f>VLOOKUP($A9,'Case-3'!$A$1:$AN$21,3,FALSE)</f>
        <v>3.4865103596159028</v>
      </c>
      <c r="E9">
        <f>VLOOKUP($A9,'Case-4'!$A$1:$AN$21,3,FALSE)</f>
        <v>3.6894033119942811</v>
      </c>
      <c r="F9">
        <f>VLOOKUP($A9,'Case-5'!$A$1:$AN$21,3,FALSE)</f>
        <v>3.6453614970539081</v>
      </c>
      <c r="G9">
        <f>VLOOKUP($A9,'Case-6'!$A$1:$AN$21,3,FALSE)</f>
        <v>3.9052219284084919</v>
      </c>
    </row>
    <row r="10" spans="1:7">
      <c r="A10" s="2">
        <v>54</v>
      </c>
      <c r="B10">
        <f>VLOOKUP($A10,'Case-1'!$A$1:$AN$21,3,FALSE)</f>
        <v>3.5392480242513562</v>
      </c>
      <c r="C10">
        <f>VLOOKUP($A10,'Case-2'!$A$1:$AN$21,3,FALSE)</f>
        <v>3.8210037212138079</v>
      </c>
      <c r="D10">
        <f>VLOOKUP($A10,'Case-3'!$A$1:$AN$21,3,FALSE)</f>
        <v>3.8472055612173892</v>
      </c>
      <c r="E10">
        <f>VLOOKUP($A10,'Case-4'!$A$1:$AN$21,3,FALSE)</f>
        <v>4.0227495819261554</v>
      </c>
      <c r="F10">
        <f>VLOOKUP($A10,'Case-5'!$A$1:$AN$21,3,FALSE)</f>
        <v>4.2323379865620669</v>
      </c>
      <c r="G10">
        <f>VLOOKUP($A10,'Case-6'!$A$1:$AN$21,3,FALSE)</f>
        <v>4.3655600717164704</v>
      </c>
    </row>
    <row r="11" spans="1:7">
      <c r="A11" s="3">
        <v>60</v>
      </c>
      <c r="B11">
        <f>VLOOKUP($A11,'Case-1'!$A$1:$AN$21,3,FALSE)</f>
        <v>4.0822739035661781</v>
      </c>
      <c r="C11">
        <f>VLOOKUP($A11,'Case-2'!$A$1:$AN$21,3,FALSE)</f>
        <v>4.1373700288572213</v>
      </c>
      <c r="D11">
        <f>VLOOKUP($A11,'Case-3'!$A$1:$AN$21,3,FALSE)</f>
        <v>4.3874094826588337</v>
      </c>
      <c r="E11">
        <f>VLOOKUP($A11,'Case-4'!$A$1:$AN$21,3,FALSE)</f>
        <v>4.5479495036250821</v>
      </c>
      <c r="F11">
        <f>VLOOKUP($A11,'Case-5'!$A$1:$AN$21,3,FALSE)</f>
        <v>4.6780589003843263</v>
      </c>
      <c r="G11">
        <f>VLOOKUP($A11,'Case-6'!$A$1:$AN$21,3,FALSE)</f>
        <v>4.9642827982714186</v>
      </c>
    </row>
    <row r="12" spans="1:7">
      <c r="A12" s="2">
        <v>66</v>
      </c>
      <c r="B12">
        <f>VLOOKUP($A12,'Case-1'!$A$1:$AN$21,3,FALSE)</f>
        <v>4.4807203505546509</v>
      </c>
      <c r="C12">
        <f>VLOOKUP($A12,'Case-2'!$A$1:$AN$21,3,FALSE)</f>
        <v>4.6951447990114561</v>
      </c>
      <c r="D12">
        <f>VLOOKUP($A12,'Case-3'!$A$1:$AN$21,3,FALSE)</f>
        <v>4.7781918600395858</v>
      </c>
      <c r="E12">
        <f>VLOOKUP($A12,'Case-4'!$A$1:$AN$21,3,FALSE)</f>
        <v>4.8719940624209146</v>
      </c>
      <c r="F12">
        <f>VLOOKUP($A12,'Case-5'!$A$1:$AN$21,3,FALSE)</f>
        <v>5.2510107477997154</v>
      </c>
      <c r="G12">
        <f>VLOOKUP($A12,'Case-6'!$A$1:$AN$21,3,FALSE)</f>
        <v>5.4406958565020318</v>
      </c>
    </row>
    <row r="13" spans="1:7">
      <c r="A13" s="3">
        <v>72</v>
      </c>
      <c r="B13">
        <f>VLOOKUP($A13,'Case-1'!$A$1:$AN$21,3,FALSE)</f>
        <v>4.9926902591943412</v>
      </c>
      <c r="C13">
        <f>VLOOKUP($A13,'Case-2'!$A$1:$AN$21,3,FALSE)</f>
        <v>5.0279488984768816</v>
      </c>
      <c r="D13">
        <f>VLOOKUP($A13,'Case-3'!$A$1:$AN$21,3,FALSE)</f>
        <v>5.4537793322841637</v>
      </c>
      <c r="E13">
        <f>VLOOKUP($A13,'Case-4'!$A$1:$AN$21,3,FALSE)</f>
        <v>5.3651481263969902</v>
      </c>
      <c r="F13">
        <f>VLOOKUP($A13,'Case-5'!$A$1:$AN$21,3,FALSE)</f>
        <v>5.8127853817114206</v>
      </c>
      <c r="G13">
        <f>VLOOKUP($A13,'Case-6'!$A$1:$AN$21,3,FALSE)</f>
        <v>6.057797412868533</v>
      </c>
    </row>
    <row r="14" spans="1:7">
      <c r="A14" s="2">
        <v>78</v>
      </c>
      <c r="B14">
        <f>VLOOKUP($A14,'Case-1'!$A$1:$AN$21,3,FALSE)</f>
        <v>4.9923853705193428</v>
      </c>
      <c r="C14">
        <f>VLOOKUP($A14,'Case-2'!$A$1:$AN$21,3,FALSE)</f>
        <v>5.4488843621898404</v>
      </c>
      <c r="D14">
        <f>VLOOKUP($A14,'Case-3'!$A$1:$AN$21,3,FALSE)</f>
        <v>5.6875074861082053</v>
      </c>
      <c r="E14">
        <f>VLOOKUP($A14,'Case-4'!$A$1:$AN$21,3,FALSE)</f>
        <v>5.6239626050314833</v>
      </c>
      <c r="F14">
        <f>VLOOKUP($A14,'Case-5'!$A$1:$AN$21,3,FALSE)</f>
        <v>6.0898340073093991</v>
      </c>
      <c r="G14">
        <f>VLOOKUP($A14,'Case-6'!$A$1:$AN$21,3,FALSE)</f>
        <v>6.2944564199667266</v>
      </c>
    </row>
    <row r="15" spans="1:7">
      <c r="A15" s="3">
        <v>84</v>
      </c>
      <c r="B15">
        <f>VLOOKUP($A15,'Case-1'!$A$1:$AN$21,3,FALSE)</f>
        <v>5.8685750760310409</v>
      </c>
      <c r="C15">
        <f>VLOOKUP($A15,'Case-2'!$A$1:$AN$21,3,FALSE)</f>
        <v>5.637743155765949</v>
      </c>
      <c r="D15">
        <f>VLOOKUP($A15,'Case-3'!$A$1:$AN$21,3,FALSE)</f>
        <v>5.9082515788719911</v>
      </c>
      <c r="E15">
        <f>VLOOKUP($A15,'Case-4'!$A$1:$AN$21,3,FALSE)</f>
        <v>6.068200823632159</v>
      </c>
      <c r="F15">
        <f>VLOOKUP($A15,'Case-5'!$A$1:$AN$21,3,FALSE)</f>
        <v>6.6195521538876481</v>
      </c>
      <c r="G15">
        <f>VLOOKUP($A15,'Case-6'!$A$1:$AN$21,3,FALSE)</f>
        <v>7.0250935141760928</v>
      </c>
    </row>
    <row r="16" spans="1:7">
      <c r="A16" s="2">
        <v>90</v>
      </c>
      <c r="B16">
        <f>VLOOKUP($A16,'Case-1'!$A$1:$AN$21,3,FALSE)</f>
        <v>6.1551443882129062</v>
      </c>
      <c r="C16">
        <f>VLOOKUP($A16,'Case-2'!$A$1:$AN$21,3,FALSE)</f>
        <v>6.5489561182143428</v>
      </c>
      <c r="D16">
        <f>VLOOKUP($A16,'Case-3'!$A$1:$AN$21,3,FALSE)</f>
        <v>6.2914723340227923</v>
      </c>
      <c r="E16">
        <f>VLOOKUP($A16,'Case-4'!$A$1:$AN$21,3,FALSE)</f>
        <v>6.7404278689474539</v>
      </c>
      <c r="F16">
        <f>VLOOKUP($A16,'Case-5'!$A$1:$AN$21,3,FALSE)</f>
        <v>6.9749680692504183</v>
      </c>
      <c r="G16">
        <f>VLOOKUP($A16,'Case-6'!$A$1:$AN$21,3,FALSE)</f>
        <v>7.5188693727729961</v>
      </c>
    </row>
    <row r="17" spans="1:7">
      <c r="A17" s="3">
        <v>96</v>
      </c>
      <c r="B17">
        <f>VLOOKUP($A17,'Case-1'!$A$1:$AN$21,3,FALSE)</f>
        <v>6.4643337487026828</v>
      </c>
      <c r="C17">
        <f>VLOOKUP($A17,'Case-2'!$A$1:$AN$21,3,FALSE)</f>
        <v>6.7958110329867933</v>
      </c>
      <c r="D17">
        <f>VLOOKUP($A17,'Case-3'!$A$1:$AN$21,3,FALSE)</f>
        <v>7.0644992528914008</v>
      </c>
      <c r="E17">
        <f>VLOOKUP($A17,'Case-4'!$A$1:$AN$21,3,FALSE)</f>
        <v>6.9277490181723396</v>
      </c>
      <c r="F17">
        <f>VLOOKUP($A17,'Case-5'!$A$1:$AN$21,3,FALSE)</f>
        <v>7.2733141078042172</v>
      </c>
      <c r="G17">
        <f>VLOOKUP($A17,'Case-6'!$A$1:$AN$21,3,FALSE)</f>
        <v>7.7450635063798901</v>
      </c>
    </row>
    <row r="18" spans="1:7">
      <c r="A18" s="2">
        <v>102</v>
      </c>
      <c r="B18">
        <f>VLOOKUP($A18,'Case-1'!$A$1:$AN$21,3,FALSE)</f>
        <v>6.9549181990560589</v>
      </c>
      <c r="C18">
        <f>VLOOKUP($A18,'Case-2'!$A$1:$AN$21,3,FALSE)</f>
        <v>7.3733714531122541</v>
      </c>
      <c r="D18">
        <f>VLOOKUP($A18,'Case-3'!$A$1:$AN$21,3,FALSE)</f>
        <v>7.1670932583115823</v>
      </c>
      <c r="E18">
        <f>VLOOKUP($A18,'Case-4'!$A$1:$AN$21,3,FALSE)</f>
        <v>7.5030930455913403</v>
      </c>
      <c r="F18">
        <f>VLOOKUP($A18,'Case-5'!$A$1:$AN$21,3,FALSE)</f>
        <v>7.8608789222941491</v>
      </c>
      <c r="G18">
        <f>VLOOKUP($A18,'Case-6'!$A$1:$AN$21,3,FALSE)</f>
        <v>8.2309657907890408</v>
      </c>
    </row>
    <row r="19" spans="1:7">
      <c r="A19" s="3">
        <v>108</v>
      </c>
      <c r="B19">
        <f>VLOOKUP($A19,'Case-1'!$A$1:$AN$21,3,FALSE)</f>
        <v>7.2733658703130688</v>
      </c>
      <c r="C19">
        <f>VLOOKUP($A19,'Case-2'!$A$1:$AN$21,3,FALSE)</f>
        <v>7.5437226054578863</v>
      </c>
      <c r="D19">
        <f>VLOOKUP($A19,'Case-3'!$A$1:$AN$21,3,FALSE)</f>
        <v>7.5538165905591406</v>
      </c>
      <c r="E19">
        <f>VLOOKUP($A19,'Case-4'!$A$1:$AN$21,3,FALSE)</f>
        <v>8.0464233073105884</v>
      </c>
      <c r="F19">
        <f>VLOOKUP($A19,'Case-5'!$A$1:$AN$21,3,FALSE)</f>
        <v>8.4984381601193206</v>
      </c>
      <c r="G19">
        <f>VLOOKUP($A19,'Case-6'!$A$1:$AN$21,3,FALSE)</f>
        <v>8.5381664409954325</v>
      </c>
    </row>
    <row r="20" spans="1:7">
      <c r="A20" s="2">
        <v>114</v>
      </c>
      <c r="B20">
        <f>VLOOKUP($A20,'Case-1'!$A$1:$AN$21,3,FALSE)</f>
        <v>7.9596156372608791</v>
      </c>
      <c r="C20">
        <f>VLOOKUP($A20,'Case-2'!$A$1:$AN$21,3,FALSE)</f>
        <v>8.1297309501643138</v>
      </c>
      <c r="D20">
        <f>VLOOKUP($A20,'Case-3'!$A$1:$AN$21,3,FALSE)</f>
        <v>8.1001208192624912</v>
      </c>
      <c r="E20">
        <f>VLOOKUP($A20,'Case-4'!$A$1:$AN$21,3,FALSE)</f>
        <v>8.2816848494136295</v>
      </c>
      <c r="F20">
        <f>VLOOKUP($A20,'Case-5'!$A$1:$AN$21,3,FALSE)</f>
        <v>8.7892302391700419</v>
      </c>
      <c r="G20">
        <f>VLOOKUP($A20,'Case-6'!$A$1:$AN$21,3,FALSE)</f>
        <v>8.8845040563447135</v>
      </c>
    </row>
    <row r="21" spans="1:7">
      <c r="A21" s="3">
        <v>120</v>
      </c>
      <c r="B21">
        <f>VLOOKUP($A21,'Case-1'!$A$1:$AN$21,3,FALSE)</f>
        <v>8.3458446864113665</v>
      </c>
      <c r="C21">
        <f>VLOOKUP($A21,'Case-2'!$A$1:$AN$21,3,FALSE)</f>
        <v>8.0939365556180647</v>
      </c>
      <c r="D21">
        <f>VLOOKUP($A21,'Case-3'!$A$1:$AN$21,3,FALSE)</f>
        <v>8.6924070266648013</v>
      </c>
      <c r="E21">
        <f>VLOOKUP($A21,'Case-4'!$A$1:$AN$21,3,FALSE)</f>
        <v>8.7895307480853688</v>
      </c>
      <c r="F21">
        <f>VLOOKUP($A21,'Case-5'!$A$1:$AN$21,3,FALSE)</f>
        <v>9.1187749632572501</v>
      </c>
      <c r="G21">
        <f>VLOOKUP($A21,'Case-6'!$A$1:$AN$21,3,FALSE)</f>
        <v>9.7967333876500113</v>
      </c>
    </row>
    <row r="22" spans="1:7">
      <c r="B22">
        <f>AVERAGE(B2:B21)</f>
        <v>4.2718885543445149</v>
      </c>
      <c r="C22">
        <f t="shared" ref="C22:G22" si="0">AVERAGE(C2:C21)</f>
        <v>4.3952750502147326</v>
      </c>
      <c r="D22">
        <f t="shared" si="0"/>
        <v>4.4967434256477246</v>
      </c>
      <c r="E22">
        <f t="shared" si="0"/>
        <v>4.6179660449575604</v>
      </c>
      <c r="F22">
        <f t="shared" si="0"/>
        <v>4.8838093976488981</v>
      </c>
      <c r="G22">
        <f t="shared" si="0"/>
        <v>5.1319520196426796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4FB7-7C90-42C5-90F1-98C7CDD29DD6}">
  <dimension ref="A1:G22"/>
  <sheetViews>
    <sheetView workbookViewId="0">
      <selection activeCell="B1" sqref="B1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VLOOKUP($A2,'Case-1'!$A$1:$AN$21,4,FALSE)</f>
        <v>9.2670634920634924</v>
      </c>
      <c r="C2">
        <f>VLOOKUP($A2,'Case-2'!$A$1:$AN$21,4,FALSE)</f>
        <v>11.069444444444439</v>
      </c>
      <c r="D2">
        <f>VLOOKUP($A2,'Case-3'!$A$1:$AN$21,4,FALSE)</f>
        <v>14.14722222222222</v>
      </c>
      <c r="E2">
        <f>VLOOKUP($A2,'Case-4'!$A$1:$AN$21,4,FALSE)</f>
        <v>13.90833333333333</v>
      </c>
      <c r="F2">
        <f>VLOOKUP($A2,'Case-5'!$A$1:$AN$21,4,FALSE)</f>
        <v>14.382539682539679</v>
      </c>
      <c r="G2">
        <f>VLOOKUP($A2,'Case-6'!$A$1:$AN$21,4,FALSE)</f>
        <v>16.991666666666671</v>
      </c>
    </row>
    <row r="3" spans="1:7">
      <c r="A3" s="3">
        <v>12</v>
      </c>
      <c r="B3">
        <f>VLOOKUP($A3,'Case-1'!$A$1:$AN$21,4,FALSE)</f>
        <v>12.43087542087542</v>
      </c>
      <c r="C3">
        <f>VLOOKUP($A3,'Case-2'!$A$1:$AN$21,4,FALSE)</f>
        <v>12.776772949272949</v>
      </c>
      <c r="D3">
        <f>VLOOKUP($A3,'Case-3'!$A$1:$AN$21,4,FALSE)</f>
        <v>14.18197774447775</v>
      </c>
      <c r="E3">
        <f>VLOOKUP($A3,'Case-4'!$A$1:$AN$21,4,FALSE)</f>
        <v>14.405545051353871</v>
      </c>
      <c r="F3">
        <f>VLOOKUP($A3,'Case-5'!$A$1:$AN$21,4,FALSE)</f>
        <v>16.329960317460319</v>
      </c>
      <c r="G3">
        <f>VLOOKUP($A3,'Case-6'!$A$1:$AN$21,4,FALSE)</f>
        <v>17.592460317460311</v>
      </c>
    </row>
    <row r="4" spans="1:7">
      <c r="A4" s="2">
        <v>18</v>
      </c>
      <c r="B4">
        <f>VLOOKUP($A4,'Case-1'!$A$1:$AN$21,4,FALSE)</f>
        <v>13.30254439579152</v>
      </c>
      <c r="C4">
        <f>VLOOKUP($A4,'Case-2'!$A$1:$AN$21,4,FALSE)</f>
        <v>12.887832361881269</v>
      </c>
      <c r="D4">
        <f>VLOOKUP($A4,'Case-3'!$A$1:$AN$21,4,FALSE)</f>
        <v>14.68362197010444</v>
      </c>
      <c r="E4">
        <f>VLOOKUP($A4,'Case-4'!$A$1:$AN$21,4,FALSE)</f>
        <v>16.282186575955372</v>
      </c>
      <c r="F4">
        <f>VLOOKUP($A4,'Case-5'!$A$1:$AN$21,4,FALSE)</f>
        <v>17.501474220224221</v>
      </c>
      <c r="G4">
        <f>VLOOKUP($A4,'Case-6'!$A$1:$AN$21,4,FALSE)</f>
        <v>19.35711068142334</v>
      </c>
    </row>
    <row r="5" spans="1:7">
      <c r="A5" s="3">
        <v>24</v>
      </c>
      <c r="B5">
        <f>VLOOKUP($A5,'Case-1'!$A$1:$AN$21,4,FALSE)</f>
        <v>14.665718434209859</v>
      </c>
      <c r="C5">
        <f>VLOOKUP($A5,'Case-2'!$A$1:$AN$21,4,FALSE)</f>
        <v>15.19010466476665</v>
      </c>
      <c r="D5">
        <f>VLOOKUP($A5,'Case-3'!$A$1:$AN$21,4,FALSE)</f>
        <v>15.447996819562791</v>
      </c>
      <c r="E5">
        <f>VLOOKUP($A5,'Case-4'!$A$1:$AN$21,4,FALSE)</f>
        <v>15.40788037473558</v>
      </c>
      <c r="F5">
        <f>VLOOKUP($A5,'Case-5'!$A$1:$AN$21,4,FALSE)</f>
        <v>18.624335923387751</v>
      </c>
      <c r="G5">
        <f>VLOOKUP($A5,'Case-6'!$A$1:$AN$21,4,FALSE)</f>
        <v>20.1598350906946</v>
      </c>
    </row>
    <row r="6" spans="1:7">
      <c r="A6" s="2">
        <v>30</v>
      </c>
      <c r="B6">
        <f>VLOOKUP($A6,'Case-1'!$A$1:$AN$21,4,FALSE)</f>
        <v>16.201592339044161</v>
      </c>
      <c r="C6">
        <f>VLOOKUP($A6,'Case-2'!$A$1:$AN$21,4,FALSE)</f>
        <v>16.244733300492278</v>
      </c>
      <c r="D6">
        <f>VLOOKUP($A6,'Case-3'!$A$1:$AN$21,4,FALSE)</f>
        <v>15.73598425988585</v>
      </c>
      <c r="E6">
        <f>VLOOKUP($A6,'Case-4'!$A$1:$AN$21,4,FALSE)</f>
        <v>16.94217796145395</v>
      </c>
      <c r="F6">
        <f>VLOOKUP($A6,'Case-5'!$A$1:$AN$21,4,FALSE)</f>
        <v>19.708259620045169</v>
      </c>
      <c r="G6">
        <f>VLOOKUP($A6,'Case-6'!$A$1:$AN$21,4,FALSE)</f>
        <v>21.47891520903886</v>
      </c>
    </row>
    <row r="7" spans="1:7">
      <c r="A7" s="3">
        <v>36</v>
      </c>
      <c r="B7">
        <f>VLOOKUP($A7,'Case-1'!$A$1:$AN$21,4,FALSE)</f>
        <v>16.36588669561576</v>
      </c>
      <c r="C7">
        <f>VLOOKUP($A7,'Case-2'!$A$1:$AN$21,4,FALSE)</f>
        <v>16.612608886147271</v>
      </c>
      <c r="D7">
        <f>VLOOKUP($A7,'Case-3'!$A$1:$AN$21,4,FALSE)</f>
        <v>18.028704042163859</v>
      </c>
      <c r="E7">
        <f>VLOOKUP($A7,'Case-4'!$A$1:$AN$21,4,FALSE)</f>
        <v>19.04437283320242</v>
      </c>
      <c r="F7">
        <f>VLOOKUP($A7,'Case-5'!$A$1:$AN$21,4,FALSE)</f>
        <v>21.13287642493021</v>
      </c>
      <c r="G7">
        <f>VLOOKUP($A7,'Case-6'!$A$1:$AN$21,4,FALSE)</f>
        <v>22.60897863704945</v>
      </c>
    </row>
    <row r="8" spans="1:7">
      <c r="A8" s="2">
        <v>42</v>
      </c>
      <c r="B8">
        <f>VLOOKUP($A8,'Case-1'!$A$1:$AN$21,4,FALSE)</f>
        <v>15.342815198794749</v>
      </c>
      <c r="C8">
        <f>VLOOKUP($A8,'Case-2'!$A$1:$AN$21,4,FALSE)</f>
        <v>16.39682873021226</v>
      </c>
      <c r="D8">
        <f>VLOOKUP($A8,'Case-3'!$A$1:$AN$21,4,FALSE)</f>
        <v>17.76457733909351</v>
      </c>
      <c r="E8">
        <f>VLOOKUP($A8,'Case-4'!$A$1:$AN$21,4,FALSE)</f>
        <v>19.4784085986423</v>
      </c>
      <c r="F8">
        <f>VLOOKUP($A8,'Case-5'!$A$1:$AN$21,4,FALSE)</f>
        <v>20.078473057138289</v>
      </c>
      <c r="G8">
        <f>VLOOKUP($A8,'Case-6'!$A$1:$AN$21,4,FALSE)</f>
        <v>23.076084832332722</v>
      </c>
    </row>
    <row r="9" spans="1:7">
      <c r="A9" s="3">
        <v>48</v>
      </c>
      <c r="B9">
        <f>VLOOKUP($A9,'Case-1'!$A$1:$AN$21,4,FALSE)</f>
        <v>17.216664098786691</v>
      </c>
      <c r="C9">
        <f>VLOOKUP($A9,'Case-2'!$A$1:$AN$21,4,FALSE)</f>
        <v>17.393532618573751</v>
      </c>
      <c r="D9">
        <f>VLOOKUP($A9,'Case-3'!$A$1:$AN$21,4,FALSE)</f>
        <v>18.47549358021028</v>
      </c>
      <c r="E9">
        <f>VLOOKUP($A9,'Case-4'!$A$1:$AN$21,4,FALSE)</f>
        <v>19.927490435696381</v>
      </c>
      <c r="F9">
        <f>VLOOKUP($A9,'Case-5'!$A$1:$AN$21,4,FALSE)</f>
        <v>20.292967015754481</v>
      </c>
      <c r="G9">
        <f>VLOOKUP($A9,'Case-6'!$A$1:$AN$21,4,FALSE)</f>
        <v>21.962021159974459</v>
      </c>
    </row>
    <row r="10" spans="1:7">
      <c r="A10" s="2">
        <v>54</v>
      </c>
      <c r="B10">
        <f>VLOOKUP($A10,'Case-1'!$A$1:$AN$21,4,FALSE)</f>
        <v>16.327102412843761</v>
      </c>
      <c r="C10">
        <f>VLOOKUP($A10,'Case-2'!$A$1:$AN$21,4,FALSE)</f>
        <v>17.318159807036619</v>
      </c>
      <c r="D10">
        <f>VLOOKUP($A10,'Case-3'!$A$1:$AN$21,4,FALSE)</f>
        <v>18.28000830774743</v>
      </c>
      <c r="E10">
        <f>VLOOKUP($A10,'Case-4'!$A$1:$AN$21,4,FALSE)</f>
        <v>19.618784167071681</v>
      </c>
      <c r="F10">
        <f>VLOOKUP($A10,'Case-5'!$A$1:$AN$21,4,FALSE)</f>
        <v>21.096609755571649</v>
      </c>
      <c r="G10">
        <f>VLOOKUP($A10,'Case-6'!$A$1:$AN$21,4,FALSE)</f>
        <v>22.23190398099473</v>
      </c>
    </row>
    <row r="11" spans="1:7">
      <c r="A11" s="3">
        <v>60</v>
      </c>
      <c r="B11">
        <f>VLOOKUP($A11,'Case-1'!$A$1:$AN$21,4,FALSE)</f>
        <v>17.002644317842702</v>
      </c>
      <c r="C11">
        <f>VLOOKUP($A11,'Case-2'!$A$1:$AN$21,4,FALSE)</f>
        <v>17.340092376952729</v>
      </c>
      <c r="D11">
        <f>VLOOKUP($A11,'Case-3'!$A$1:$AN$21,4,FALSE)</f>
        <v>18.983746831407402</v>
      </c>
      <c r="E11">
        <f>VLOOKUP($A11,'Case-4'!$A$1:$AN$21,4,FALSE)</f>
        <v>20.353111102793061</v>
      </c>
      <c r="F11">
        <f>VLOOKUP($A11,'Case-5'!$A$1:$AN$21,4,FALSE)</f>
        <v>21.098280395612178</v>
      </c>
      <c r="G11">
        <f>VLOOKUP($A11,'Case-6'!$A$1:$AN$21,4,FALSE)</f>
        <v>22.71561388258905</v>
      </c>
    </row>
    <row r="12" spans="1:7">
      <c r="A12" s="2">
        <v>66</v>
      </c>
      <c r="B12">
        <f>VLOOKUP($A12,'Case-1'!$A$1:$AN$21,4,FALSE)</f>
        <v>17.04693021965031</v>
      </c>
      <c r="C12">
        <f>VLOOKUP($A12,'Case-2'!$A$1:$AN$21,4,FALSE)</f>
        <v>17.895784636665031</v>
      </c>
      <c r="D12">
        <f>VLOOKUP($A12,'Case-3'!$A$1:$AN$21,4,FALSE)</f>
        <v>18.947038238563501</v>
      </c>
      <c r="E12">
        <f>VLOOKUP($A12,'Case-4'!$A$1:$AN$21,4,FALSE)</f>
        <v>19.891695268315321</v>
      </c>
      <c r="F12">
        <f>VLOOKUP($A12,'Case-5'!$A$1:$AN$21,4,FALSE)</f>
        <v>21.751523111160949</v>
      </c>
      <c r="G12">
        <f>VLOOKUP($A12,'Case-6'!$A$1:$AN$21,4,FALSE)</f>
        <v>22.930204605022251</v>
      </c>
    </row>
    <row r="13" spans="1:7">
      <c r="A13" s="3">
        <v>72</v>
      </c>
      <c r="B13">
        <f>VLOOKUP($A13,'Case-1'!$A$1:$AN$21,4,FALSE)</f>
        <v>17.50118950434457</v>
      </c>
      <c r="C13">
        <f>VLOOKUP($A13,'Case-2'!$A$1:$AN$21,4,FALSE)</f>
        <v>17.81361857575483</v>
      </c>
      <c r="D13">
        <f>VLOOKUP($A13,'Case-3'!$A$1:$AN$21,4,FALSE)</f>
        <v>19.987514039065491</v>
      </c>
      <c r="E13">
        <f>VLOOKUP($A13,'Case-4'!$A$1:$AN$21,4,FALSE)</f>
        <v>20.202573606480481</v>
      </c>
      <c r="F13">
        <f>VLOOKUP($A13,'Case-5'!$A$1:$AN$21,4,FALSE)</f>
        <v>22.27086091252545</v>
      </c>
      <c r="G13">
        <f>VLOOKUP($A13,'Case-6'!$A$1:$AN$21,4,FALSE)</f>
        <v>23.459645366458499</v>
      </c>
    </row>
    <row r="14" spans="1:7">
      <c r="A14" s="2">
        <v>78</v>
      </c>
      <c r="B14">
        <f>VLOOKUP($A14,'Case-1'!$A$1:$AN$21,4,FALSE)</f>
        <v>16.661549263545279</v>
      </c>
      <c r="C14">
        <f>VLOOKUP($A14,'Case-2'!$A$1:$AN$21,4,FALSE)</f>
        <v>18.01140494827818</v>
      </c>
      <c r="D14">
        <f>VLOOKUP($A14,'Case-3'!$A$1:$AN$21,4,FALSE)</f>
        <v>19.19482968538313</v>
      </c>
      <c r="E14">
        <f>VLOOKUP($A14,'Case-4'!$A$1:$AN$21,4,FALSE)</f>
        <v>19.468943534132279</v>
      </c>
      <c r="F14">
        <f>VLOOKUP($A14,'Case-5'!$A$1:$AN$21,4,FALSE)</f>
        <v>21.57664234177836</v>
      </c>
      <c r="G14">
        <f>VLOOKUP($A14,'Case-6'!$A$1:$AN$21,4,FALSE)</f>
        <v>22.644360425899329</v>
      </c>
    </row>
    <row r="15" spans="1:7">
      <c r="A15" s="3">
        <v>84</v>
      </c>
      <c r="B15">
        <f>VLOOKUP($A15,'Case-1'!$A$1:$AN$21,4,FALSE)</f>
        <v>17.85505627681766</v>
      </c>
      <c r="C15">
        <f>VLOOKUP($A15,'Case-2'!$A$1:$AN$21,4,FALSE)</f>
        <v>17.502041136182509</v>
      </c>
      <c r="D15">
        <f>VLOOKUP($A15,'Case-3'!$A$1:$AN$21,4,FALSE)</f>
        <v>18.723585643966501</v>
      </c>
      <c r="E15">
        <f>VLOOKUP($A15,'Case-4'!$A$1:$AN$21,4,FALSE)</f>
        <v>19.957268045596368</v>
      </c>
      <c r="F15">
        <f>VLOOKUP($A15,'Case-5'!$A$1:$AN$21,4,FALSE)</f>
        <v>21.957816461423651</v>
      </c>
      <c r="G15">
        <f>VLOOKUP($A15,'Case-6'!$A$1:$AN$21,4,FALSE)</f>
        <v>23.664156862224051</v>
      </c>
    </row>
    <row r="16" spans="1:7">
      <c r="A16" s="2">
        <v>90</v>
      </c>
      <c r="B16">
        <f>VLOOKUP($A16,'Case-1'!$A$1:$AN$21,4,FALSE)</f>
        <v>17.862746551166481</v>
      </c>
      <c r="C16">
        <f>VLOOKUP($A16,'Case-2'!$A$1:$AN$21,4,FALSE)</f>
        <v>18.42963859748065</v>
      </c>
      <c r="D16">
        <f>VLOOKUP($A16,'Case-3'!$A$1:$AN$21,4,FALSE)</f>
        <v>18.70982730496965</v>
      </c>
      <c r="E16">
        <f>VLOOKUP($A16,'Case-4'!$A$1:$AN$21,4,FALSE)</f>
        <v>20.559837375663339</v>
      </c>
      <c r="F16">
        <f>VLOOKUP($A16,'Case-5'!$A$1:$AN$21,4,FALSE)</f>
        <v>21.636152542795049</v>
      </c>
      <c r="G16">
        <f>VLOOKUP($A16,'Case-6'!$A$1:$AN$21,4,FALSE)</f>
        <v>23.54868809938343</v>
      </c>
    </row>
    <row r="17" spans="1:7">
      <c r="A17" s="3">
        <v>96</v>
      </c>
      <c r="B17">
        <f>VLOOKUP($A17,'Case-1'!$A$1:$AN$21,4,FALSE)</f>
        <v>17.513932926988289</v>
      </c>
      <c r="C17">
        <f>VLOOKUP($A17,'Case-2'!$A$1:$AN$21,4,FALSE)</f>
        <v>18.253796554815139</v>
      </c>
      <c r="D17">
        <f>VLOOKUP($A17,'Case-3'!$A$1:$AN$21,4,FALSE)</f>
        <v>19.726395486691601</v>
      </c>
      <c r="E17">
        <f>VLOOKUP($A17,'Case-4'!$A$1:$AN$21,4,FALSE)</f>
        <v>20.13241101907764</v>
      </c>
      <c r="F17">
        <f>VLOOKUP($A17,'Case-5'!$A$1:$AN$21,4,FALSE)</f>
        <v>21.312244039193398</v>
      </c>
      <c r="G17">
        <f>VLOOKUP($A17,'Case-6'!$A$1:$AN$21,4,FALSE)</f>
        <v>22.962112298173469</v>
      </c>
    </row>
    <row r="18" spans="1:7">
      <c r="A18" s="2">
        <v>102</v>
      </c>
      <c r="B18">
        <f>VLOOKUP($A18,'Case-1'!$A$1:$AN$21,4,FALSE)</f>
        <v>17.443031147847659</v>
      </c>
      <c r="C18">
        <f>VLOOKUP($A18,'Case-2'!$A$1:$AN$21,4,FALSE)</f>
        <v>18.686516258605071</v>
      </c>
      <c r="D18">
        <f>VLOOKUP($A18,'Case-3'!$A$1:$AN$21,4,FALSE)</f>
        <v>18.830361179216069</v>
      </c>
      <c r="E18">
        <f>VLOOKUP($A18,'Case-4'!$A$1:$AN$21,4,FALSE)</f>
        <v>20.302461498174249</v>
      </c>
      <c r="F18">
        <f>VLOOKUP($A18,'Case-5'!$A$1:$AN$21,4,FALSE)</f>
        <v>21.5452741009112</v>
      </c>
      <c r="G18">
        <f>VLOOKUP($A18,'Case-6'!$A$1:$AN$21,4,FALSE)</f>
        <v>22.92150652896877</v>
      </c>
    </row>
    <row r="19" spans="1:7">
      <c r="A19" s="3">
        <v>108</v>
      </c>
      <c r="B19">
        <f>VLOOKUP($A19,'Case-1'!$A$1:$AN$21,4,FALSE)</f>
        <v>17.406161143347038</v>
      </c>
      <c r="C19">
        <f>VLOOKUP($A19,'Case-2'!$A$1:$AN$21,4,FALSE)</f>
        <v>18.33846526623979</v>
      </c>
      <c r="D19">
        <f>VLOOKUP($A19,'Case-3'!$A$1:$AN$21,4,FALSE)</f>
        <v>18.87861314980476</v>
      </c>
      <c r="E19">
        <f>VLOOKUP($A19,'Case-4'!$A$1:$AN$21,4,FALSE)</f>
        <v>20.60177318012154</v>
      </c>
      <c r="F19">
        <f>VLOOKUP($A19,'Case-5'!$A$1:$AN$21,4,FALSE)</f>
        <v>22.187111084724361</v>
      </c>
      <c r="G19">
        <f>VLOOKUP($A19,'Case-6'!$A$1:$AN$21,4,FALSE)</f>
        <v>22.603928708387279</v>
      </c>
    </row>
    <row r="20" spans="1:7">
      <c r="A20" s="2">
        <v>114</v>
      </c>
      <c r="B20">
        <f>VLOOKUP($A20,'Case-1'!$A$1:$AN$21,4,FALSE)</f>
        <v>17.949906229682359</v>
      </c>
      <c r="C20">
        <f>VLOOKUP($A20,'Case-2'!$A$1:$AN$21,4,FALSE)</f>
        <v>18.712917923490849</v>
      </c>
      <c r="D20">
        <f>VLOOKUP($A20,'Case-3'!$A$1:$AN$21,4,FALSE)</f>
        <v>19.20010904719441</v>
      </c>
      <c r="E20">
        <f>VLOOKUP($A20,'Case-4'!$A$1:$AN$21,4,FALSE)</f>
        <v>20.251272894422321</v>
      </c>
      <c r="F20">
        <f>VLOOKUP($A20,'Case-5'!$A$1:$AN$21,4,FALSE)</f>
        <v>21.799471460096381</v>
      </c>
      <c r="G20">
        <f>VLOOKUP($A20,'Case-6'!$A$1:$AN$21,4,FALSE)</f>
        <v>22.341837404468141</v>
      </c>
    </row>
    <row r="21" spans="1:7">
      <c r="A21" s="3">
        <v>120</v>
      </c>
      <c r="B21">
        <f>VLOOKUP($A21,'Case-1'!$A$1:$AN$21,4,FALSE)</f>
        <v>18.089253843479561</v>
      </c>
      <c r="C21">
        <f>VLOOKUP($A21,'Case-2'!$A$1:$AN$21,4,FALSE)</f>
        <v>17.856377965640121</v>
      </c>
      <c r="D21">
        <f>VLOOKUP($A21,'Case-3'!$A$1:$AN$21,4,FALSE)</f>
        <v>19.718171069133909</v>
      </c>
      <c r="E21">
        <f>VLOOKUP($A21,'Case-4'!$A$1:$AN$21,4,FALSE)</f>
        <v>20.541360096438069</v>
      </c>
      <c r="F21">
        <f>VLOOKUP($A21,'Case-5'!$A$1:$AN$21,4,FALSE)</f>
        <v>21.706229930873679</v>
      </c>
      <c r="G21">
        <f>VLOOKUP($A21,'Case-6'!$A$1:$AN$21,4,FALSE)</f>
        <v>23.383141206356669</v>
      </c>
    </row>
    <row r="22" spans="1:7">
      <c r="B22">
        <f>AVERAGE(B2:B21)</f>
        <v>16.17263319563687</v>
      </c>
      <c r="C22">
        <f t="shared" ref="C22:G22" si="0">AVERAGE(C2:C21)</f>
        <v>16.736533600146618</v>
      </c>
      <c r="D22">
        <f t="shared" si="0"/>
        <v>17.882288898043228</v>
      </c>
      <c r="E22">
        <f t="shared" si="0"/>
        <v>18.863894347632975</v>
      </c>
      <c r="F22">
        <f t="shared" si="0"/>
        <v>20.399455119907323</v>
      </c>
      <c r="G22">
        <f t="shared" si="0"/>
        <v>21.9317085981783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F317-23D0-4279-8A35-E00E5059CB04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VLOOKUP($A2,'Case-1'!$A$1:$AN$21,5,FALSE)</f>
        <v>0.33005068926301789</v>
      </c>
      <c r="C2">
        <f>VLOOKUP($A2,'Case-2'!$A$1:$AN$21,5,FALSE)</f>
        <v>0.35290067850443257</v>
      </c>
      <c r="D2">
        <f>VLOOKUP($A2,'Case-3'!$A$1:$AN$21,5,FALSE)</f>
        <v>0.3792206554969752</v>
      </c>
      <c r="E2">
        <f>VLOOKUP($A2,'Case-4'!$A$1:$AN$21,5,FALSE)</f>
        <v>0.36545021700788621</v>
      </c>
      <c r="F2">
        <f>VLOOKUP($A2,'Case-5'!$A$1:$AN$21,5,FALSE)</f>
        <v>0.36225720542153278</v>
      </c>
      <c r="G2">
        <f>VLOOKUP($A2,'Case-6'!$A$1:$AN$21,5,FALSE)</f>
        <v>0.37272193239583967</v>
      </c>
    </row>
    <row r="3" spans="1:7">
      <c r="A3" s="3">
        <v>12</v>
      </c>
      <c r="B3">
        <f>VLOOKUP($A3,'Case-1'!$A$1:$AN$21,5,FALSE)</f>
        <v>0.59987367502576239</v>
      </c>
      <c r="C3">
        <f>VLOOKUP($A3,'Case-2'!$A$1:$AN$21,5,FALSE)</f>
        <v>0.56794563551944199</v>
      </c>
      <c r="D3">
        <f>VLOOKUP($A3,'Case-3'!$A$1:$AN$21,5,FALSE)</f>
        <v>0.56216304849894105</v>
      </c>
      <c r="E3">
        <f>VLOOKUP($A3,'Case-4'!$A$1:$AN$21,5,FALSE)</f>
        <v>0.56525310654826544</v>
      </c>
      <c r="F3">
        <f>VLOOKUP($A3,'Case-5'!$A$1:$AN$21,5,FALSE)</f>
        <v>0.53724301226987048</v>
      </c>
      <c r="G3">
        <f>VLOOKUP($A3,'Case-6'!$A$1:$AN$21,5,FALSE)</f>
        <v>0.56301365193040842</v>
      </c>
    </row>
    <row r="4" spans="1:7">
      <c r="A4" s="2">
        <v>18</v>
      </c>
      <c r="B4">
        <f>VLOOKUP($A4,'Case-1'!$A$1:$AN$21,5,FALSE)</f>
        <v>0.72088887088493558</v>
      </c>
      <c r="C4">
        <f>VLOOKUP($A4,'Case-2'!$A$1:$AN$21,5,FALSE)</f>
        <v>0.78461375961802415</v>
      </c>
      <c r="D4">
        <f>VLOOKUP($A4,'Case-3'!$A$1:$AN$21,5,FALSE)</f>
        <v>0.77749755600636727</v>
      </c>
      <c r="E4">
        <f>VLOOKUP($A4,'Case-4'!$A$1:$AN$21,5,FALSE)</f>
        <v>0.65004548805356155</v>
      </c>
      <c r="F4">
        <f>VLOOKUP($A4,'Case-5'!$A$1:$AN$21,5,FALSE)</f>
        <v>0.61648984065035561</v>
      </c>
      <c r="G4">
        <f>VLOOKUP($A4,'Case-6'!$A$1:$AN$21,5,FALSE)</f>
        <v>0.63684319657761823</v>
      </c>
    </row>
    <row r="5" spans="1:7">
      <c r="A5" s="3">
        <v>24</v>
      </c>
      <c r="B5">
        <f>VLOOKUP($A5,'Case-1'!$A$1:$AN$21,5,FALSE)</f>
        <v>0.82640170240487298</v>
      </c>
      <c r="C5">
        <f>VLOOKUP($A5,'Case-2'!$A$1:$AN$21,5,FALSE)</f>
        <v>0.89001990418434762</v>
      </c>
      <c r="D5">
        <f>VLOOKUP($A5,'Case-3'!$A$1:$AN$21,5,FALSE)</f>
        <v>0.83354078661012898</v>
      </c>
      <c r="E5">
        <f>VLOOKUP($A5,'Case-4'!$A$1:$AN$21,5,FALSE)</f>
        <v>0.78102281687637454</v>
      </c>
      <c r="F5">
        <f>VLOOKUP($A5,'Case-5'!$A$1:$AN$21,5,FALSE)</f>
        <v>0.82905873692032406</v>
      </c>
      <c r="G5">
        <f>VLOOKUP($A5,'Case-6'!$A$1:$AN$21,5,FALSE)</f>
        <v>0.74467208036742383</v>
      </c>
    </row>
    <row r="6" spans="1:7">
      <c r="A6" s="2">
        <v>30</v>
      </c>
      <c r="B6">
        <f>VLOOKUP($A6,'Case-1'!$A$1:$AN$21,5,FALSE)</f>
        <v>0.92451635746916017</v>
      </c>
      <c r="C6">
        <f>VLOOKUP($A6,'Case-2'!$A$1:$AN$21,5,FALSE)</f>
        <v>0.95940621457303954</v>
      </c>
      <c r="D6">
        <f>VLOOKUP($A6,'Case-3'!$A$1:$AN$21,5,FALSE)</f>
        <v>0.88452879883200997</v>
      </c>
      <c r="E6">
        <f>VLOOKUP($A6,'Case-4'!$A$1:$AN$21,5,FALSE)</f>
        <v>0.85189799311261727</v>
      </c>
      <c r="F6">
        <f>VLOOKUP($A6,'Case-5'!$A$1:$AN$21,5,FALSE)</f>
        <v>0.78118019953167195</v>
      </c>
      <c r="G6">
        <f>VLOOKUP($A6,'Case-6'!$A$1:$AN$21,5,FALSE)</f>
        <v>0.70246063876587905</v>
      </c>
    </row>
    <row r="7" spans="1:7">
      <c r="A7" s="3">
        <v>36</v>
      </c>
      <c r="B7">
        <f>VLOOKUP($A7,'Case-1'!$A$1:$AN$21,5,FALSE)</f>
        <v>1.0587653424785399</v>
      </c>
      <c r="C7">
        <f>VLOOKUP($A7,'Case-2'!$A$1:$AN$21,5,FALSE)</f>
        <v>1.0574400787977329</v>
      </c>
      <c r="D7">
        <f>VLOOKUP($A7,'Case-3'!$A$1:$AN$21,5,FALSE)</f>
        <v>0.97558931642713087</v>
      </c>
      <c r="E7">
        <f>VLOOKUP($A7,'Case-4'!$A$1:$AN$21,5,FALSE)</f>
        <v>0.87436008712966007</v>
      </c>
      <c r="F7">
        <f>VLOOKUP($A7,'Case-5'!$A$1:$AN$21,5,FALSE)</f>
        <v>0.77818715559533358</v>
      </c>
      <c r="G7">
        <f>VLOOKUP($A7,'Case-6'!$A$1:$AN$21,5,FALSE)</f>
        <v>0.59743265104868581</v>
      </c>
    </row>
    <row r="8" spans="1:7">
      <c r="A8" s="2">
        <v>42</v>
      </c>
      <c r="B8">
        <f>VLOOKUP($A8,'Case-1'!$A$1:$AN$21,5,FALSE)</f>
        <v>1.253934365966126</v>
      </c>
      <c r="C8">
        <f>VLOOKUP($A8,'Case-2'!$A$1:$AN$21,5,FALSE)</f>
        <v>1.2410090061534551</v>
      </c>
      <c r="D8">
        <f>VLOOKUP($A8,'Case-3'!$A$1:$AN$21,5,FALSE)</f>
        <v>0.99919263454167551</v>
      </c>
      <c r="E8">
        <f>VLOOKUP($A8,'Case-4'!$A$1:$AN$21,5,FALSE)</f>
        <v>0.90616403493053876</v>
      </c>
      <c r="F8">
        <f>VLOOKUP($A8,'Case-5'!$A$1:$AN$21,5,FALSE)</f>
        <v>0.86115533929900379</v>
      </c>
      <c r="G8">
        <f>VLOOKUP($A8,'Case-6'!$A$1:$AN$21,5,FALSE)</f>
        <v>0.56072291344473391</v>
      </c>
    </row>
    <row r="9" spans="1:7">
      <c r="A9" s="3">
        <v>48</v>
      </c>
      <c r="B9">
        <f>VLOOKUP($A9,'Case-1'!$A$1:$AN$21,5,FALSE)</f>
        <v>1.251372921083445</v>
      </c>
      <c r="C9">
        <f>VLOOKUP($A9,'Case-2'!$A$1:$AN$21,5,FALSE)</f>
        <v>1.1879313576332049</v>
      </c>
      <c r="D9">
        <f>VLOOKUP($A9,'Case-3'!$A$1:$AN$21,5,FALSE)</f>
        <v>1.0390125770916201</v>
      </c>
      <c r="E9">
        <f>VLOOKUP($A9,'Case-4'!$A$1:$AN$21,5,FALSE)</f>
        <v>0.98049045875164975</v>
      </c>
      <c r="F9">
        <f>VLOOKUP($A9,'Case-5'!$A$1:$AN$21,5,FALSE)</f>
        <v>0.93435121107012209</v>
      </c>
      <c r="G9">
        <f>VLOOKUP($A9,'Case-6'!$A$1:$AN$21,5,FALSE)</f>
        <v>0.86024835516052633</v>
      </c>
    </row>
    <row r="10" spans="1:7">
      <c r="A10" s="2">
        <v>54</v>
      </c>
      <c r="B10">
        <f>VLOOKUP($A10,'Case-1'!$A$1:$AN$21,5,FALSE)</f>
        <v>1.3711884786929991</v>
      </c>
      <c r="C10">
        <f>VLOOKUP($A10,'Case-2'!$A$1:$AN$21,5,FALSE)</f>
        <v>1.2311183417942839</v>
      </c>
      <c r="D10">
        <f>VLOOKUP($A10,'Case-3'!$A$1:$AN$21,5,FALSE)</f>
        <v>1.238689076662252</v>
      </c>
      <c r="E10">
        <f>VLOOKUP($A10,'Case-4'!$A$1:$AN$21,5,FALSE)</f>
        <v>1.124035324634133</v>
      </c>
      <c r="F10">
        <f>VLOOKUP($A10,'Case-5'!$A$1:$AN$21,5,FALSE)</f>
        <v>1.0283512653959259</v>
      </c>
      <c r="G10">
        <f>VLOOKUP($A10,'Case-6'!$A$1:$AN$21,5,FALSE)</f>
        <v>0.94176391553610816</v>
      </c>
    </row>
    <row r="11" spans="1:7">
      <c r="A11" s="3">
        <v>60</v>
      </c>
      <c r="B11">
        <f>VLOOKUP($A11,'Case-1'!$A$1:$AN$21,5,FALSE)</f>
        <v>1.3955970045501029</v>
      </c>
      <c r="C11">
        <f>VLOOKUP($A11,'Case-2'!$A$1:$AN$21,5,FALSE)</f>
        <v>1.4378735797620541</v>
      </c>
      <c r="D11">
        <f>VLOOKUP($A11,'Case-3'!$A$1:$AN$21,5,FALSE)</f>
        <v>1.1316228791256659</v>
      </c>
      <c r="E11">
        <f>VLOOKUP($A11,'Case-4'!$A$1:$AN$21,5,FALSE)</f>
        <v>0.86834560459172772</v>
      </c>
      <c r="F11">
        <f>VLOOKUP($A11,'Case-5'!$A$1:$AN$21,5,FALSE)</f>
        <v>0.85659371215929281</v>
      </c>
      <c r="G11">
        <f>VLOOKUP($A11,'Case-6'!$A$1:$AN$21,5,FALSE)</f>
        <v>0.66688089095313163</v>
      </c>
    </row>
    <row r="12" spans="1:7">
      <c r="A12" s="2">
        <v>66</v>
      </c>
      <c r="B12">
        <f>VLOOKUP($A12,'Case-1'!$A$1:$AN$21,5,FALSE)</f>
        <v>1.689778169056938</v>
      </c>
      <c r="C12">
        <f>VLOOKUP($A12,'Case-2'!$A$1:$AN$21,5,FALSE)</f>
        <v>1.5712205181481029</v>
      </c>
      <c r="D12">
        <f>VLOOKUP($A12,'Case-3'!$A$1:$AN$21,5,FALSE)</f>
        <v>1.26828964026711</v>
      </c>
      <c r="E12">
        <f>VLOOKUP($A12,'Case-4'!$A$1:$AN$21,5,FALSE)</f>
        <v>1.080331438584387</v>
      </c>
      <c r="F12">
        <f>VLOOKUP($A12,'Case-5'!$A$1:$AN$21,5,FALSE)</f>
        <v>0.90995552654435385</v>
      </c>
      <c r="G12">
        <f>VLOOKUP($A12,'Case-6'!$A$1:$AN$21,5,FALSE)</f>
        <v>0.79716740582437517</v>
      </c>
    </row>
    <row r="13" spans="1:7">
      <c r="A13" s="3">
        <v>72</v>
      </c>
      <c r="B13">
        <f>VLOOKUP($A13,'Case-1'!$A$1:$AN$21,5,FALSE)</f>
        <v>1.7039231864452209</v>
      </c>
      <c r="C13">
        <f>VLOOKUP($A13,'Case-2'!$A$1:$AN$21,5,FALSE)</f>
        <v>1.6009538087852211</v>
      </c>
      <c r="D13">
        <f>VLOOKUP($A13,'Case-3'!$A$1:$AN$21,5,FALSE)</f>
        <v>1.299514490420641</v>
      </c>
      <c r="E13">
        <f>VLOOKUP($A13,'Case-4'!$A$1:$AN$21,5,FALSE)</f>
        <v>0.99095686810501749</v>
      </c>
      <c r="F13">
        <f>VLOOKUP($A13,'Case-5'!$A$1:$AN$21,5,FALSE)</f>
        <v>0.79264488868338223</v>
      </c>
      <c r="G13">
        <f>VLOOKUP($A13,'Case-6'!$A$1:$AN$21,5,FALSE)</f>
        <v>0.80091370972381259</v>
      </c>
    </row>
    <row r="14" spans="1:7">
      <c r="A14" s="2">
        <v>78</v>
      </c>
      <c r="B14">
        <f>VLOOKUP($A14,'Case-1'!$A$1:$AN$21,5,FALSE)</f>
        <v>1.711062653668971</v>
      </c>
      <c r="C14">
        <f>VLOOKUP($A14,'Case-2'!$A$1:$AN$21,5,FALSE)</f>
        <v>1.6214899852507869</v>
      </c>
      <c r="D14">
        <f>VLOOKUP($A14,'Case-3'!$A$1:$AN$21,5,FALSE)</f>
        <v>1.5406367164966279</v>
      </c>
      <c r="E14">
        <f>VLOOKUP($A14,'Case-4'!$A$1:$AN$21,5,FALSE)</f>
        <v>1.444388689524241</v>
      </c>
      <c r="F14">
        <f>VLOOKUP($A14,'Case-5'!$A$1:$AN$21,5,FALSE)</f>
        <v>1.0340553976017679</v>
      </c>
      <c r="G14">
        <f>VLOOKUP($A14,'Case-6'!$A$1:$AN$21,5,FALSE)</f>
        <v>1.0376460931871949</v>
      </c>
    </row>
    <row r="15" spans="1:7">
      <c r="A15" s="3">
        <v>84</v>
      </c>
      <c r="B15">
        <f>VLOOKUP($A15,'Case-1'!$A$1:$AN$21,5,FALSE)</f>
        <v>1.710778455365501</v>
      </c>
      <c r="C15">
        <f>VLOOKUP($A15,'Case-2'!$A$1:$AN$21,5,FALSE)</f>
        <v>1.678552674398748</v>
      </c>
      <c r="D15">
        <f>VLOOKUP($A15,'Case-3'!$A$1:$AN$21,5,FALSE)</f>
        <v>1.554133165598899</v>
      </c>
      <c r="E15">
        <f>VLOOKUP($A15,'Case-4'!$A$1:$AN$21,5,FALSE)</f>
        <v>1.3063632499975879</v>
      </c>
      <c r="F15">
        <f>VLOOKUP($A15,'Case-5'!$A$1:$AN$21,5,FALSE)</f>
        <v>0.93704008346239998</v>
      </c>
      <c r="G15">
        <f>VLOOKUP($A15,'Case-6'!$A$1:$AN$21,5,FALSE)</f>
        <v>0.65952532676120712</v>
      </c>
    </row>
    <row r="16" spans="1:7">
      <c r="A16" s="2">
        <v>90</v>
      </c>
      <c r="B16">
        <f>VLOOKUP($A16,'Case-1'!$A$1:$AN$21,5,FALSE)</f>
        <v>1.7883088324689871</v>
      </c>
      <c r="C16">
        <f>VLOOKUP($A16,'Case-2'!$A$1:$AN$21,5,FALSE)</f>
        <v>2.0940696219080071</v>
      </c>
      <c r="D16">
        <f>VLOOKUP($A16,'Case-3'!$A$1:$AN$21,5,FALSE)</f>
        <v>1.765076099593925</v>
      </c>
      <c r="E16">
        <f>VLOOKUP($A16,'Case-4'!$A$1:$AN$21,5,FALSE)</f>
        <v>1.296059675639391</v>
      </c>
      <c r="F16">
        <f>VLOOKUP($A16,'Case-5'!$A$1:$AN$21,5,FALSE)</f>
        <v>1.27530186114526</v>
      </c>
      <c r="G16">
        <f>VLOOKUP($A16,'Case-6'!$A$1:$AN$21,5,FALSE)</f>
        <v>0.67711880577210815</v>
      </c>
    </row>
    <row r="17" spans="1:7">
      <c r="A17" s="3">
        <v>96</v>
      </c>
      <c r="B17">
        <f>VLOOKUP($A17,'Case-1'!$A$1:$AN$21,5,FALSE)</f>
        <v>2.0385413009544568</v>
      </c>
      <c r="C17">
        <f>VLOOKUP($A17,'Case-2'!$A$1:$AN$21,5,FALSE)</f>
        <v>1.796703196562202</v>
      </c>
      <c r="D17">
        <f>VLOOKUP($A17,'Case-3'!$A$1:$AN$21,5,FALSE)</f>
        <v>1.4869744029245899</v>
      </c>
      <c r="E17">
        <f>VLOOKUP($A17,'Case-4'!$A$1:$AN$21,5,FALSE)</f>
        <v>1.288781545947451</v>
      </c>
      <c r="F17">
        <f>VLOOKUP($A17,'Case-5'!$A$1:$AN$21,5,FALSE)</f>
        <v>1.4554802500887991</v>
      </c>
      <c r="G17">
        <f>VLOOKUP($A17,'Case-6'!$A$1:$AN$21,5,FALSE)</f>
        <v>0.99540842757647396</v>
      </c>
    </row>
    <row r="18" spans="1:7">
      <c r="A18" s="2">
        <v>102</v>
      </c>
      <c r="B18">
        <f>VLOOKUP($A18,'Case-1'!$A$1:$AN$21,5,FALSE)</f>
        <v>2.3701185405281771</v>
      </c>
      <c r="C18">
        <f>VLOOKUP($A18,'Case-2'!$A$1:$AN$21,5,FALSE)</f>
        <v>1.90772225945292</v>
      </c>
      <c r="D18">
        <f>VLOOKUP($A18,'Case-3'!$A$1:$AN$21,5,FALSE)</f>
        <v>1.95181236811908</v>
      </c>
      <c r="E18">
        <f>VLOOKUP($A18,'Case-4'!$A$1:$AN$21,5,FALSE)</f>
        <v>1.4083317872804499</v>
      </c>
      <c r="F18">
        <f>VLOOKUP($A18,'Case-5'!$A$1:$AN$21,5,FALSE)</f>
        <v>1.1495964241837779</v>
      </c>
      <c r="G18">
        <f>VLOOKUP($A18,'Case-6'!$A$1:$AN$21,5,FALSE)</f>
        <v>1.2898546713130099</v>
      </c>
    </row>
    <row r="19" spans="1:7">
      <c r="A19" s="3">
        <v>108</v>
      </c>
      <c r="B19">
        <f>VLOOKUP($A19,'Case-1'!$A$1:$AN$21,5,FALSE)</f>
        <v>2.5377117724512521</v>
      </c>
      <c r="C19">
        <f>VLOOKUP($A19,'Case-2'!$A$1:$AN$21,5,FALSE)</f>
        <v>2.2338754077196801</v>
      </c>
      <c r="D19">
        <f>VLOOKUP($A19,'Case-3'!$A$1:$AN$21,5,FALSE)</f>
        <v>1.8115492601245839</v>
      </c>
      <c r="E19">
        <f>VLOOKUP($A19,'Case-4'!$A$1:$AN$21,5,FALSE)</f>
        <v>1.638977530246835</v>
      </c>
      <c r="F19">
        <f>VLOOKUP($A19,'Case-5'!$A$1:$AN$21,5,FALSE)</f>
        <v>1.1907775258672579</v>
      </c>
      <c r="G19">
        <f>VLOOKUP($A19,'Case-6'!$A$1:$AN$21,5,FALSE)</f>
        <v>1.325285855209704</v>
      </c>
    </row>
    <row r="20" spans="1:7">
      <c r="A20" s="2">
        <v>114</v>
      </c>
      <c r="B20">
        <f>VLOOKUP($A20,'Case-1'!$A$1:$AN$21,5,FALSE)</f>
        <v>2.3863946694553908</v>
      </c>
      <c r="C20">
        <f>VLOOKUP($A20,'Case-2'!$A$1:$AN$21,5,FALSE)</f>
        <v>2.188161157709708</v>
      </c>
      <c r="D20">
        <f>VLOOKUP($A20,'Case-3'!$A$1:$AN$21,5,FALSE)</f>
        <v>1.984277535157327</v>
      </c>
      <c r="E20">
        <f>VLOOKUP($A20,'Case-4'!$A$1:$AN$21,5,FALSE)</f>
        <v>1.666225531230066</v>
      </c>
      <c r="F20">
        <f>VLOOKUP($A20,'Case-5'!$A$1:$AN$21,5,FALSE)</f>
        <v>1.3753626133919059</v>
      </c>
      <c r="G20">
        <f>VLOOKUP($A20,'Case-6'!$A$1:$AN$21,5,FALSE)</f>
        <v>1.4863582537881961</v>
      </c>
    </row>
    <row r="21" spans="1:7">
      <c r="A21" s="3">
        <v>120</v>
      </c>
      <c r="B21">
        <f>VLOOKUP($A21,'Case-1'!$A$1:$AN$21,5,FALSE)</f>
        <v>2.4907157245952072</v>
      </c>
      <c r="C21">
        <f>VLOOKUP($A21,'Case-2'!$A$1:$AN$21,5,FALSE)</f>
        <v>2.4814217283372622</v>
      </c>
      <c r="D21">
        <f>VLOOKUP($A21,'Case-3'!$A$1:$AN$21,5,FALSE)</f>
        <v>1.9617951011204451</v>
      </c>
      <c r="E21">
        <f>VLOOKUP($A21,'Case-4'!$A$1:$AN$21,5,FALSE)</f>
        <v>1.4665978997160509</v>
      </c>
      <c r="F21">
        <f>VLOOKUP($A21,'Case-5'!$A$1:$AN$21,5,FALSE)</f>
        <v>1.0772800652105079</v>
      </c>
      <c r="G21">
        <f>VLOOKUP($A21,'Case-6'!$A$1:$AN$21,5,FALSE)</f>
        <v>1.0500165370998</v>
      </c>
    </row>
    <row r="22" spans="1:7">
      <c r="B22">
        <f>AVERAGE(B2:B21)</f>
        <v>1.5079961356404534</v>
      </c>
      <c r="C22">
        <f t="shared" ref="C22:G22" si="0">AVERAGE(C2:C21)</f>
        <v>1.4442214457406328</v>
      </c>
      <c r="D22">
        <f t="shared" si="0"/>
        <v>1.2722558054557997</v>
      </c>
      <c r="E22">
        <f t="shared" si="0"/>
        <v>1.0777039673953943</v>
      </c>
      <c r="F22">
        <f t="shared" si="0"/>
        <v>0.93911811572464254</v>
      </c>
      <c r="G22">
        <f t="shared" si="0"/>
        <v>0.83830276562181205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3F1B-6F9F-4158-93D7-9DEC29FE389E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VLOOKUP($A2,'Case-1'!$A$1:$AN$21,6,FALSE)</f>
        <v>0.41941435997673399</v>
      </c>
      <c r="C2">
        <f>VLOOKUP($A2,'Case-2'!$A$1:$AN$21,6,FALSE)</f>
        <v>0.44232256626158678</v>
      </c>
      <c r="D2">
        <f>VLOOKUP($A2,'Case-3'!$A$1:$AN$21,6,FALSE)</f>
        <v>0.48599060530236832</v>
      </c>
      <c r="E2">
        <f>VLOOKUP($A2,'Case-4'!$A$1:$AN$21,6,FALSE)</f>
        <v>0.4715426640132992</v>
      </c>
      <c r="F2">
        <f>VLOOKUP($A2,'Case-5'!$A$1:$AN$21,6,FALSE)</f>
        <v>0.4689350431078651</v>
      </c>
      <c r="G2">
        <f>VLOOKUP($A2,'Case-6'!$A$1:$AN$21,6,FALSE)</f>
        <v>0.47947578820902248</v>
      </c>
    </row>
    <row r="3" spans="1:7">
      <c r="A3" s="3">
        <v>12</v>
      </c>
      <c r="B3">
        <f>VLOOKUP($A3,'Case-1'!$A$1:$AN$21,6,FALSE)</f>
        <v>0.72462286545770915</v>
      </c>
      <c r="C3">
        <f>VLOOKUP($A3,'Case-2'!$A$1:$AN$21,6,FALSE)</f>
        <v>0.71002303609325512</v>
      </c>
      <c r="D3">
        <f>VLOOKUP($A3,'Case-3'!$A$1:$AN$21,6,FALSE)</f>
        <v>0.69131017925756177</v>
      </c>
      <c r="E3">
        <f>VLOOKUP($A3,'Case-4'!$A$1:$AN$21,6,FALSE)</f>
        <v>0.69806452363718552</v>
      </c>
      <c r="F3">
        <f>VLOOKUP($A3,'Case-5'!$A$1:$AN$21,6,FALSE)</f>
        <v>0.66672264652166713</v>
      </c>
      <c r="G3">
        <f>VLOOKUP($A3,'Case-6'!$A$1:$AN$21,6,FALSE)</f>
        <v>0.70065984165414075</v>
      </c>
    </row>
    <row r="4" spans="1:7">
      <c r="A4" s="2">
        <v>18</v>
      </c>
      <c r="B4">
        <f>VLOOKUP($A4,'Case-1'!$A$1:$AN$21,6,FALSE)</f>
        <v>0.85352102814571729</v>
      </c>
      <c r="C4">
        <f>VLOOKUP($A4,'Case-2'!$A$1:$AN$21,6,FALSE)</f>
        <v>0.9503467991703779</v>
      </c>
      <c r="D4">
        <f>VLOOKUP($A4,'Case-3'!$A$1:$AN$21,6,FALSE)</f>
        <v>0.92404375696250829</v>
      </c>
      <c r="E4">
        <f>VLOOKUP($A4,'Case-4'!$A$1:$AN$21,6,FALSE)</f>
        <v>0.77722635167792586</v>
      </c>
      <c r="F4">
        <f>VLOOKUP($A4,'Case-5'!$A$1:$AN$21,6,FALSE)</f>
        <v>0.74039111927268564</v>
      </c>
      <c r="G4">
        <f>VLOOKUP($A4,'Case-6'!$A$1:$AN$21,6,FALSE)</f>
        <v>0.76662522205218164</v>
      </c>
    </row>
    <row r="5" spans="1:7">
      <c r="A5" s="3">
        <v>24</v>
      </c>
      <c r="B5">
        <f>VLOOKUP($A5,'Case-1'!$A$1:$AN$21,6,FALSE)</f>
        <v>0.96467368902548245</v>
      </c>
      <c r="C5">
        <f>VLOOKUP($A5,'Case-2'!$A$1:$AN$21,6,FALSE)</f>
        <v>1.03015918217782</v>
      </c>
      <c r="D5">
        <f>VLOOKUP($A5,'Case-3'!$A$1:$AN$21,6,FALSE)</f>
        <v>0.9863768238196724</v>
      </c>
      <c r="E5">
        <f>VLOOKUP($A5,'Case-4'!$A$1:$AN$21,6,FALSE)</f>
        <v>0.92069526390662826</v>
      </c>
      <c r="F5">
        <f>VLOOKUP($A5,'Case-5'!$A$1:$AN$21,6,FALSE)</f>
        <v>0.94728711840075819</v>
      </c>
      <c r="G5">
        <f>VLOOKUP($A5,'Case-6'!$A$1:$AN$21,6,FALSE)</f>
        <v>0.85739183083029324</v>
      </c>
    </row>
    <row r="6" spans="1:7">
      <c r="A6" s="2">
        <v>30</v>
      </c>
      <c r="B6">
        <f>VLOOKUP($A6,'Case-1'!$A$1:$AN$21,6,FALSE)</f>
        <v>1.0067465776847011</v>
      </c>
      <c r="C6">
        <f>VLOOKUP($A6,'Case-2'!$A$1:$AN$21,6,FALSE)</f>
        <v>1.0807028382818831</v>
      </c>
      <c r="D6">
        <f>VLOOKUP($A6,'Case-3'!$A$1:$AN$21,6,FALSE)</f>
        <v>1.006364648400121</v>
      </c>
      <c r="E6">
        <f>VLOOKUP($A6,'Case-4'!$A$1:$AN$21,6,FALSE)</f>
        <v>0.96362465526529684</v>
      </c>
      <c r="F6">
        <f>VLOOKUP($A6,'Case-5'!$A$1:$AN$21,6,FALSE)</f>
        <v>0.87429369348483077</v>
      </c>
      <c r="G6">
        <f>VLOOKUP($A6,'Case-6'!$A$1:$AN$21,6,FALSE)</f>
        <v>0.78066346670232212</v>
      </c>
    </row>
    <row r="7" spans="1:7">
      <c r="A7" s="3">
        <v>36</v>
      </c>
      <c r="B7">
        <f>VLOOKUP($A7,'Case-1'!$A$1:$AN$21,6,FALSE)</f>
        <v>1.1639168116194361</v>
      </c>
      <c r="C7">
        <f>VLOOKUP($A7,'Case-2'!$A$1:$AN$21,6,FALSE)</f>
        <v>1.165387992018456</v>
      </c>
      <c r="D7">
        <f>VLOOKUP($A7,'Case-3'!$A$1:$AN$21,6,FALSE)</f>
        <v>1.0630668459913819</v>
      </c>
      <c r="E7">
        <f>VLOOKUP($A7,'Case-4'!$A$1:$AN$21,6,FALSE)</f>
        <v>0.96690780125334463</v>
      </c>
      <c r="F7">
        <f>VLOOKUP($A7,'Case-5'!$A$1:$AN$21,6,FALSE)</f>
        <v>0.85549585465143207</v>
      </c>
      <c r="G7">
        <f>VLOOKUP($A7,'Case-6'!$A$1:$AN$21,6,FALSE)</f>
        <v>0.64013309809539154</v>
      </c>
    </row>
    <row r="8" spans="1:7">
      <c r="A8" s="2">
        <v>42</v>
      </c>
      <c r="B8">
        <f>VLOOKUP($A8,'Case-1'!$A$1:$AN$21,6,FALSE)</f>
        <v>1.3851101632786651</v>
      </c>
      <c r="C8">
        <f>VLOOKUP($A8,'Case-2'!$A$1:$AN$21,6,FALSE)</f>
        <v>1.3363742605811999</v>
      </c>
      <c r="D8">
        <f>VLOOKUP($A8,'Case-3'!$A$1:$AN$21,6,FALSE)</f>
        <v>1.0870506751942439</v>
      </c>
      <c r="E8">
        <f>VLOOKUP($A8,'Case-4'!$A$1:$AN$21,6,FALSE)</f>
        <v>0.95466038773725947</v>
      </c>
      <c r="F8">
        <f>VLOOKUP($A8,'Case-5'!$A$1:$AN$21,6,FALSE)</f>
        <v>0.90917220382978681</v>
      </c>
      <c r="G8">
        <f>VLOOKUP($A8,'Case-6'!$A$1:$AN$21,6,FALSE)</f>
        <v>0.62344652179889459</v>
      </c>
    </row>
    <row r="9" spans="1:7">
      <c r="A9" s="3">
        <v>48</v>
      </c>
      <c r="B9">
        <f>VLOOKUP($A9,'Case-1'!$A$1:$AN$21,6,FALSE)</f>
        <v>1.2880650053653471</v>
      </c>
      <c r="C9">
        <f>VLOOKUP($A9,'Case-2'!$A$1:$AN$21,6,FALSE)</f>
        <v>1.2151149605978</v>
      </c>
      <c r="D9">
        <f>VLOOKUP($A9,'Case-3'!$A$1:$AN$21,6,FALSE)</f>
        <v>1.0933569383182331</v>
      </c>
      <c r="E9">
        <f>VLOOKUP($A9,'Case-4'!$A$1:$AN$21,6,FALSE)</f>
        <v>1.041400967685099</v>
      </c>
      <c r="F9">
        <f>VLOOKUP($A9,'Case-5'!$A$1:$AN$21,6,FALSE)</f>
        <v>0.99988254906096496</v>
      </c>
      <c r="G9">
        <f>VLOOKUP($A9,'Case-6'!$A$1:$AN$21,6,FALSE)</f>
        <v>0.921054381761785</v>
      </c>
    </row>
    <row r="10" spans="1:7">
      <c r="A10" s="2">
        <v>54</v>
      </c>
      <c r="B10">
        <f>VLOOKUP($A10,'Case-1'!$A$1:$AN$21,6,FALSE)</f>
        <v>1.4525881399612961</v>
      </c>
      <c r="C10">
        <f>VLOOKUP($A10,'Case-2'!$A$1:$AN$21,6,FALSE)</f>
        <v>1.2426777955147259</v>
      </c>
      <c r="D10">
        <f>VLOOKUP($A10,'Case-3'!$A$1:$AN$21,6,FALSE)</f>
        <v>1.311516408714432</v>
      </c>
      <c r="E10">
        <f>VLOOKUP($A10,'Case-4'!$A$1:$AN$21,6,FALSE)</f>
        <v>1.211836211036009</v>
      </c>
      <c r="F10">
        <f>VLOOKUP($A10,'Case-5'!$A$1:$AN$21,6,FALSE)</f>
        <v>1.109347752310067</v>
      </c>
      <c r="G10">
        <f>VLOOKUP($A10,'Case-6'!$A$1:$AN$21,6,FALSE)</f>
        <v>1.01907505234836</v>
      </c>
    </row>
    <row r="11" spans="1:7">
      <c r="A11" s="3">
        <v>60</v>
      </c>
      <c r="B11">
        <f>VLOOKUP($A11,'Case-1'!$A$1:$AN$21,6,FALSE)</f>
        <v>1.3976239747326209</v>
      </c>
      <c r="C11">
        <f>VLOOKUP($A11,'Case-2'!$A$1:$AN$21,6,FALSE)</f>
        <v>1.4599751688175531</v>
      </c>
      <c r="D11">
        <f>VLOOKUP($A11,'Case-3'!$A$1:$AN$21,6,FALSE)</f>
        <v>1.164546627917044</v>
      </c>
      <c r="E11">
        <f>VLOOKUP($A11,'Case-4'!$A$1:$AN$21,6,FALSE)</f>
        <v>0.87618033618629731</v>
      </c>
      <c r="F11">
        <f>VLOOKUP($A11,'Case-5'!$A$1:$AN$21,6,FALSE)</f>
        <v>0.88408332938032019</v>
      </c>
      <c r="G11">
        <f>VLOOKUP($A11,'Case-6'!$A$1:$AN$21,6,FALSE)</f>
        <v>0.6982176439671709</v>
      </c>
    </row>
    <row r="12" spans="1:7">
      <c r="A12" s="2">
        <v>66</v>
      </c>
      <c r="B12">
        <f>VLOOKUP($A12,'Case-1'!$A$1:$AN$21,6,FALSE)</f>
        <v>1.7367700931400221</v>
      </c>
      <c r="C12">
        <f>VLOOKUP($A12,'Case-2'!$A$1:$AN$21,6,FALSE)</f>
        <v>1.6160496188924161</v>
      </c>
      <c r="D12">
        <f>VLOOKUP($A12,'Case-3'!$A$1:$AN$21,6,FALSE)</f>
        <v>1.2994726361071229</v>
      </c>
      <c r="E12">
        <f>VLOOKUP($A12,'Case-4'!$A$1:$AN$21,6,FALSE)</f>
        <v>1.10767166892066</v>
      </c>
      <c r="F12">
        <f>VLOOKUP($A12,'Case-5'!$A$1:$AN$21,6,FALSE)</f>
        <v>0.91221754816401868</v>
      </c>
      <c r="G12">
        <f>VLOOKUP($A12,'Case-6'!$A$1:$AN$21,6,FALSE)</f>
        <v>0.83354180734501171</v>
      </c>
    </row>
    <row r="13" spans="1:7">
      <c r="A13" s="3">
        <v>72</v>
      </c>
      <c r="B13">
        <f>VLOOKUP($A13,'Case-1'!$A$1:$AN$21,6,FALSE)</f>
        <v>1.7453778241283979</v>
      </c>
      <c r="C13">
        <f>VLOOKUP($A13,'Case-2'!$A$1:$AN$21,6,FALSE)</f>
        <v>1.6245054881259371</v>
      </c>
      <c r="D13">
        <f>VLOOKUP($A13,'Case-3'!$A$1:$AN$21,6,FALSE)</f>
        <v>1.329804191594528</v>
      </c>
      <c r="E13">
        <f>VLOOKUP($A13,'Case-4'!$A$1:$AN$21,6,FALSE)</f>
        <v>1.0170025117809569</v>
      </c>
      <c r="F13">
        <f>VLOOKUP($A13,'Case-5'!$A$1:$AN$21,6,FALSE)</f>
        <v>0.81314100048140547</v>
      </c>
      <c r="G13">
        <f>VLOOKUP($A13,'Case-6'!$A$1:$AN$21,6,FALSE)</f>
        <v>0.82552489954935582</v>
      </c>
    </row>
    <row r="14" spans="1:7">
      <c r="A14" s="2">
        <v>78</v>
      </c>
      <c r="B14">
        <f>VLOOKUP($A14,'Case-1'!$A$1:$AN$21,6,FALSE)</f>
        <v>1.771975067417755</v>
      </c>
      <c r="C14">
        <f>VLOOKUP($A14,'Case-2'!$A$1:$AN$21,6,FALSE)</f>
        <v>1.6408867683440871</v>
      </c>
      <c r="D14">
        <f>VLOOKUP($A14,'Case-3'!$A$1:$AN$21,6,FALSE)</f>
        <v>1.574214680880649</v>
      </c>
      <c r="E14">
        <f>VLOOKUP($A14,'Case-4'!$A$1:$AN$21,6,FALSE)</f>
        <v>1.497647493030972</v>
      </c>
      <c r="F14">
        <f>VLOOKUP($A14,'Case-5'!$A$1:$AN$21,6,FALSE)</f>
        <v>1.0899676597469159</v>
      </c>
      <c r="G14">
        <f>VLOOKUP($A14,'Case-6'!$A$1:$AN$21,6,FALSE)</f>
        <v>1.1095202844552621</v>
      </c>
    </row>
    <row r="15" spans="1:7">
      <c r="A15" s="3">
        <v>84</v>
      </c>
      <c r="B15">
        <f>VLOOKUP($A15,'Case-1'!$A$1:$AN$21,6,FALSE)</f>
        <v>1.721064942712454</v>
      </c>
      <c r="C15">
        <f>VLOOKUP($A15,'Case-2'!$A$1:$AN$21,6,FALSE)</f>
        <v>1.706060009085077</v>
      </c>
      <c r="D15">
        <f>VLOOKUP($A15,'Case-3'!$A$1:$AN$21,6,FALSE)</f>
        <v>1.6021701054874919</v>
      </c>
      <c r="E15">
        <f>VLOOKUP($A15,'Case-4'!$A$1:$AN$21,6,FALSE)</f>
        <v>1.330966859198069</v>
      </c>
      <c r="F15">
        <f>VLOOKUP($A15,'Case-5'!$A$1:$AN$21,6,FALSE)</f>
        <v>0.96738137762084297</v>
      </c>
      <c r="G15">
        <f>VLOOKUP($A15,'Case-6'!$A$1:$AN$21,6,FALSE)</f>
        <v>0.6538248480772223</v>
      </c>
    </row>
    <row r="16" spans="1:7">
      <c r="A16" s="2">
        <v>90</v>
      </c>
      <c r="B16">
        <f>VLOOKUP($A16,'Case-1'!$A$1:$AN$21,6,FALSE)</f>
        <v>1.815650252681331</v>
      </c>
      <c r="C16">
        <f>VLOOKUP($A16,'Case-2'!$A$1:$AN$21,6,FALSE)</f>
        <v>2.1176719890389601</v>
      </c>
      <c r="D16">
        <f>VLOOKUP($A16,'Case-3'!$A$1:$AN$21,6,FALSE)</f>
        <v>1.8214376780873549</v>
      </c>
      <c r="E16">
        <f>VLOOKUP($A16,'Case-4'!$A$1:$AN$21,6,FALSE)</f>
        <v>1.325401378019371</v>
      </c>
      <c r="F16">
        <f>VLOOKUP($A16,'Case-5'!$A$1:$AN$21,6,FALSE)</f>
        <v>1.328557389293304</v>
      </c>
      <c r="G16">
        <f>VLOOKUP($A16,'Case-6'!$A$1:$AN$21,6,FALSE)</f>
        <v>0.66054067415624751</v>
      </c>
    </row>
    <row r="17" spans="1:7">
      <c r="A17" s="3">
        <v>96</v>
      </c>
      <c r="B17">
        <f>VLOOKUP($A17,'Case-1'!$A$1:$AN$21,6,FALSE)</f>
        <v>2.0546852612502251</v>
      </c>
      <c r="C17">
        <f>VLOOKUP($A17,'Case-2'!$A$1:$AN$21,6,FALSE)</f>
        <v>1.7833335833638699</v>
      </c>
      <c r="D17">
        <f>VLOOKUP($A17,'Case-3'!$A$1:$AN$21,6,FALSE)</f>
        <v>1.481783813933599</v>
      </c>
      <c r="E17">
        <f>VLOOKUP($A17,'Case-4'!$A$1:$AN$21,6,FALSE)</f>
        <v>1.3255527589251319</v>
      </c>
      <c r="F17">
        <f>VLOOKUP($A17,'Case-5'!$A$1:$AN$21,6,FALSE)</f>
        <v>1.5217537368549281</v>
      </c>
      <c r="G17">
        <f>VLOOKUP($A17,'Case-6'!$A$1:$AN$21,6,FALSE)</f>
        <v>1.024835952614962</v>
      </c>
    </row>
    <row r="18" spans="1:7">
      <c r="A18" s="2">
        <v>102</v>
      </c>
      <c r="B18">
        <f>VLOOKUP($A18,'Case-1'!$A$1:$AN$21,6,FALSE)</f>
        <v>2.4025508407230549</v>
      </c>
      <c r="C18">
        <f>VLOOKUP($A18,'Case-2'!$A$1:$AN$21,6,FALSE)</f>
        <v>1.914200675770148</v>
      </c>
      <c r="D18">
        <f>VLOOKUP($A18,'Case-3'!$A$1:$AN$21,6,FALSE)</f>
        <v>1.971072746368532</v>
      </c>
      <c r="E18">
        <f>VLOOKUP($A18,'Case-4'!$A$1:$AN$21,6,FALSE)</f>
        <v>1.4086523931826951</v>
      </c>
      <c r="F18">
        <f>VLOOKUP($A18,'Case-5'!$A$1:$AN$21,6,FALSE)</f>
        <v>1.117269777277111</v>
      </c>
      <c r="G18">
        <f>VLOOKUP($A18,'Case-6'!$A$1:$AN$21,6,FALSE)</f>
        <v>1.3628249879823431</v>
      </c>
    </row>
    <row r="19" spans="1:7">
      <c r="A19" s="3">
        <v>108</v>
      </c>
      <c r="B19">
        <f>VLOOKUP($A19,'Case-1'!$A$1:$AN$21,6,FALSE)</f>
        <v>2.5685173615086918</v>
      </c>
      <c r="C19">
        <f>VLOOKUP($A19,'Case-2'!$A$1:$AN$21,6,FALSE)</f>
        <v>2.227331421558203</v>
      </c>
      <c r="D19">
        <f>VLOOKUP($A19,'Case-3'!$A$1:$AN$21,6,FALSE)</f>
        <v>1.882033644783849</v>
      </c>
      <c r="E19">
        <f>VLOOKUP($A19,'Case-4'!$A$1:$AN$21,6,FALSE)</f>
        <v>1.638123142098409</v>
      </c>
      <c r="F19">
        <f>VLOOKUP($A19,'Case-5'!$A$1:$AN$21,6,FALSE)</f>
        <v>1.2125109159595959</v>
      </c>
      <c r="G19">
        <f>VLOOKUP($A19,'Case-6'!$A$1:$AN$21,6,FALSE)</f>
        <v>1.356717938160529</v>
      </c>
    </row>
    <row r="20" spans="1:7">
      <c r="A20" s="2">
        <v>114</v>
      </c>
      <c r="B20">
        <f>VLOOKUP($A20,'Case-1'!$A$1:$AN$21,6,FALSE)</f>
        <v>2.3757868720305111</v>
      </c>
      <c r="C20">
        <f>VLOOKUP($A20,'Case-2'!$A$1:$AN$21,6,FALSE)</f>
        <v>2.165364628006579</v>
      </c>
      <c r="D20">
        <f>VLOOKUP($A20,'Case-3'!$A$1:$AN$21,6,FALSE)</f>
        <v>1.974850905412104</v>
      </c>
      <c r="E20">
        <f>VLOOKUP($A20,'Case-4'!$A$1:$AN$21,6,FALSE)</f>
        <v>1.706865963289369</v>
      </c>
      <c r="F20">
        <f>VLOOKUP($A20,'Case-5'!$A$1:$AN$21,6,FALSE)</f>
        <v>1.421396047153572</v>
      </c>
      <c r="G20">
        <f>VLOOKUP($A20,'Case-6'!$A$1:$AN$21,6,FALSE)</f>
        <v>1.557098448898584</v>
      </c>
    </row>
    <row r="21" spans="1:7">
      <c r="A21" s="3">
        <v>120</v>
      </c>
      <c r="B21">
        <f>VLOOKUP($A21,'Case-1'!$A$1:$AN$21,6,FALSE)</f>
        <v>2.52495132055091</v>
      </c>
      <c r="C21">
        <f>VLOOKUP($A21,'Case-2'!$A$1:$AN$21,6,FALSE)</f>
        <v>2.5174833939272339</v>
      </c>
      <c r="D21">
        <f>VLOOKUP($A21,'Case-3'!$A$1:$AN$21,6,FALSE)</f>
        <v>1.9691251207486431</v>
      </c>
      <c r="E21">
        <f>VLOOKUP($A21,'Case-4'!$A$1:$AN$21,6,FALSE)</f>
        <v>1.489380643998969</v>
      </c>
      <c r="F21">
        <f>VLOOKUP($A21,'Case-5'!$A$1:$AN$21,6,FALSE)</f>
        <v>1.0815071801664611</v>
      </c>
      <c r="G21">
        <f>VLOOKUP($A21,'Case-6'!$A$1:$AN$21,6,FALSE)</f>
        <v>1.076392632737214</v>
      </c>
    </row>
    <row r="22" spans="1:7">
      <c r="B22">
        <f>AVERAGE(B2:B21)</f>
        <v>1.5686806225695531</v>
      </c>
      <c r="C22">
        <f t="shared" ref="C22:G22" si="0">AVERAGE(C2:C21)</f>
        <v>1.4972986087813587</v>
      </c>
      <c r="D22">
        <f t="shared" si="0"/>
        <v>1.3359794516640719</v>
      </c>
      <c r="E22">
        <f t="shared" si="0"/>
        <v>1.1364701987421475</v>
      </c>
      <c r="F22">
        <f t="shared" si="0"/>
        <v>0.99606569713692661</v>
      </c>
      <c r="G22">
        <f t="shared" si="0"/>
        <v>0.89737826606981463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74FF-B426-4D8E-B768-A3F86FA5EB1F}">
  <dimension ref="A1:G22"/>
  <sheetViews>
    <sheetView workbookViewId="0">
      <selection activeCell="C26" sqref="C26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VLOOKUP($A2,'Case-1'!$A$1:$AN$21,7,FALSE)</f>
        <v>14.563363883999729</v>
      </c>
      <c r="C2">
        <f>VLOOKUP($A2,'Case-2'!$A$1:$AN$21,7,FALSE)</f>
        <v>15.17700985327544</v>
      </c>
      <c r="D2">
        <f>VLOOKUP($A2,'Case-3'!$A$1:$AN$21,7,FALSE)</f>
        <v>17.27836972012074</v>
      </c>
      <c r="E2">
        <f>VLOOKUP($A2,'Case-4'!$A$1:$AN$21,7,FALSE)</f>
        <v>18.272510850394308</v>
      </c>
      <c r="F2">
        <f>VLOOKUP($A2,'Case-5'!$A$1:$AN$21,7,FALSE)</f>
        <v>16.100118738108868</v>
      </c>
      <c r="G2">
        <f>VLOOKUP($A2,'Case-6'!$A$1:$AN$21,7,FALSE)</f>
        <v>18.636096619791989</v>
      </c>
    </row>
    <row r="3" spans="1:7">
      <c r="A3" s="3">
        <v>12</v>
      </c>
      <c r="B3">
        <f>VLOOKUP($A3,'Case-1'!$A$1:$AN$21,7,FALSE)</f>
        <v>12.125288678844919</v>
      </c>
      <c r="C3">
        <f>VLOOKUP($A3,'Case-2'!$A$1:$AN$21,7,FALSE)</f>
        <v>12.11273276857769</v>
      </c>
      <c r="D3">
        <f>VLOOKUP($A3,'Case-3'!$A$1:$AN$21,7,FALSE)</f>
        <v>12.48702304953658</v>
      </c>
      <c r="E3">
        <f>VLOOKUP($A3,'Case-4'!$A$1:$AN$21,7,FALSE)</f>
        <v>12.83070665139644</v>
      </c>
      <c r="F3">
        <f>VLOOKUP($A3,'Case-5'!$A$1:$AN$21,7,FALSE)</f>
        <v>13.431075306746759</v>
      </c>
      <c r="G3">
        <f>VLOOKUP($A3,'Case-6'!$A$1:$AN$21,7,FALSE)</f>
        <v>14.075341298260209</v>
      </c>
    </row>
    <row r="4" spans="1:7">
      <c r="A4" s="2">
        <v>18</v>
      </c>
      <c r="B4">
        <f>VLOOKUP($A4,'Case-1'!$A$1:$AN$21,7,FALSE)</f>
        <v>10.01810382274563</v>
      </c>
      <c r="C4">
        <f>VLOOKUP($A4,'Case-2'!$A$1:$AN$21,7,FALSE)</f>
        <v>11.32887832346205</v>
      </c>
      <c r="D4">
        <f>VLOOKUP($A4,'Case-3'!$A$1:$AN$21,7,FALSE)</f>
        <v>11.380001257203549</v>
      </c>
      <c r="E4">
        <f>VLOOKUP($A4,'Case-4'!$A$1:$AN$21,7,FALSE)</f>
        <v>9.9450228467104171</v>
      </c>
      <c r="F4">
        <f>VLOOKUP($A4,'Case-5'!$A$1:$AN$21,7,FALSE)</f>
        <v>10.274830677505919</v>
      </c>
      <c r="G4">
        <f>VLOOKUP($A4,'Case-6'!$A$1:$AN$21,7,FALSE)</f>
        <v>10.614053276293641</v>
      </c>
    </row>
    <row r="5" spans="1:7">
      <c r="A5" s="3">
        <v>24</v>
      </c>
      <c r="B5">
        <f>VLOOKUP($A5,'Case-1'!$A$1:$AN$21,7,FALSE)</f>
        <v>8.7770787630009295</v>
      </c>
      <c r="C5">
        <f>VLOOKUP($A5,'Case-2'!$A$1:$AN$21,7,FALSE)</f>
        <v>9.1107479058381617</v>
      </c>
      <c r="D5">
        <f>VLOOKUP($A5,'Case-3'!$A$1:$AN$21,7,FALSE)</f>
        <v>9.4494616865749261</v>
      </c>
      <c r="E5">
        <f>VLOOKUP($A5,'Case-4'!$A$1:$AN$21,7,FALSE)</f>
        <v>9.2079676664700116</v>
      </c>
      <c r="F5">
        <f>VLOOKUP($A5,'Case-5'!$A$1:$AN$21,7,FALSE)</f>
        <v>10.11015307943681</v>
      </c>
      <c r="G5">
        <f>VLOOKUP($A5,'Case-6'!$A$1:$AN$21,7,FALSE)</f>
        <v>9.3084010045927972</v>
      </c>
    </row>
    <row r="6" spans="1:7">
      <c r="A6" s="2">
        <v>30</v>
      </c>
      <c r="B6">
        <f>VLOOKUP($A6,'Case-1'!$A$1:$AN$21,7,FALSE)</f>
        <v>7.3973771674938389</v>
      </c>
      <c r="C6">
        <f>VLOOKUP($A6,'Case-2'!$A$1:$AN$21,7,FALSE)</f>
        <v>7.7693731724173292</v>
      </c>
      <c r="D6">
        <f>VLOOKUP($A6,'Case-3'!$A$1:$AN$21,7,FALSE)</f>
        <v>8.0053039381137925</v>
      </c>
      <c r="E6">
        <f>VLOOKUP($A6,'Case-4'!$A$1:$AN$21,7,FALSE)</f>
        <v>8.0149512338510771</v>
      </c>
      <c r="F6">
        <f>VLOOKUP($A6,'Case-5'!$A$1:$AN$21,7,FALSE)</f>
        <v>7.5751973713025924</v>
      </c>
      <c r="G6">
        <f>VLOOKUP($A6,'Case-6'!$A$1:$AN$21,7,FALSE)</f>
        <v>7.0246063876587899</v>
      </c>
    </row>
    <row r="7" spans="1:7">
      <c r="A7" s="3">
        <v>36</v>
      </c>
      <c r="B7">
        <f>VLOOKUP($A7,'Case-1'!$A$1:$AN$21,7,FALSE)</f>
        <v>7.3767778237289816</v>
      </c>
      <c r="C7">
        <f>VLOOKUP($A7,'Case-2'!$A$1:$AN$21,7,FALSE)</f>
        <v>6.8387537541913268</v>
      </c>
      <c r="D7">
        <f>VLOOKUP($A7,'Case-3'!$A$1:$AN$21,7,FALSE)</f>
        <v>6.8604480136976393</v>
      </c>
      <c r="E7">
        <f>VLOOKUP($A7,'Case-4'!$A$1:$AN$21,7,FALSE)</f>
        <v>6.7438221131869831</v>
      </c>
      <c r="F7">
        <f>VLOOKUP($A7,'Case-5'!$A$1:$AN$21,7,FALSE)</f>
        <v>6.2209037527991038</v>
      </c>
      <c r="G7">
        <f>VLOOKUP($A7,'Case-6'!$A$1:$AN$21,7,FALSE)</f>
        <v>4.9786054254057159</v>
      </c>
    </row>
    <row r="8" spans="1:7">
      <c r="A8" s="2">
        <v>42</v>
      </c>
      <c r="B8">
        <f>VLOOKUP($A8,'Case-1'!$A$1:$AN$21,7,FALSE)</f>
        <v>7.0046980937588268</v>
      </c>
      <c r="C8">
        <f>VLOOKUP($A8,'Case-2'!$A$1:$AN$21,7,FALSE)</f>
        <v>7.2315821276128958</v>
      </c>
      <c r="D8">
        <f>VLOOKUP($A8,'Case-3'!$A$1:$AN$21,7,FALSE)</f>
        <v>5.9204134813930596</v>
      </c>
      <c r="E8">
        <f>VLOOKUP($A8,'Case-4'!$A$1:$AN$21,7,FALSE)</f>
        <v>5.5995838347808533</v>
      </c>
      <c r="F8">
        <f>VLOOKUP($A8,'Case-5'!$A$1:$AN$21,7,FALSE)</f>
        <v>5.7458107404315459</v>
      </c>
      <c r="G8">
        <f>VLOOKUP($A8,'Case-6'!$A$1:$AN$21,7,FALSE)</f>
        <v>3.934589833625699</v>
      </c>
    </row>
    <row r="9" spans="1:7">
      <c r="A9" s="3">
        <v>48</v>
      </c>
      <c r="B9">
        <f>VLOOKUP($A9,'Case-1'!$A$1:$AN$21,7,FALSE)</f>
        <v>5.9861265775507864</v>
      </c>
      <c r="C9">
        <f>VLOOKUP($A9,'Case-2'!$A$1:$AN$21,7,FALSE)</f>
        <v>5.4604719848727994</v>
      </c>
      <c r="D9">
        <f>VLOOKUP($A9,'Case-3'!$A$1:$AN$21,7,FALSE)</f>
        <v>5.3237513673400878</v>
      </c>
      <c r="E9">
        <f>VLOOKUP($A9,'Case-4'!$A$1:$AN$21,7,FALSE)</f>
        <v>5.3005893311830228</v>
      </c>
      <c r="F9">
        <f>VLOOKUP($A9,'Case-5'!$A$1:$AN$21,7,FALSE)</f>
        <v>5.5240484678721531</v>
      </c>
      <c r="G9">
        <f>VLOOKUP($A9,'Case-6'!$A$1:$AN$21,7,FALSE)</f>
        <v>5.3355405640421756</v>
      </c>
    </row>
    <row r="10" spans="1:7">
      <c r="A10" s="2">
        <v>54</v>
      </c>
      <c r="B10">
        <f>VLOOKUP($A10,'Case-1'!$A$1:$AN$21,7,FALSE)</f>
        <v>6.1610572804352524</v>
      </c>
      <c r="C10">
        <f>VLOOKUP($A10,'Case-2'!$A$1:$AN$21,7,FALSE)</f>
        <v>4.9297114461954417</v>
      </c>
      <c r="D10">
        <f>VLOOKUP($A10,'Case-3'!$A$1:$AN$21,7,FALSE)</f>
        <v>5.8564006281707712</v>
      </c>
      <c r="E10">
        <f>VLOOKUP($A10,'Case-4'!$A$1:$AN$21,7,FALSE)</f>
        <v>5.5639173030911762</v>
      </c>
      <c r="F10">
        <f>VLOOKUP($A10,'Case-5'!$A$1:$AN$21,7,FALSE)</f>
        <v>5.3235668227364972</v>
      </c>
      <c r="G10">
        <f>VLOOKUP($A10,'Case-6'!$A$1:$AN$21,7,FALSE)</f>
        <v>5.1915016461066443</v>
      </c>
    </row>
    <row r="11" spans="1:7">
      <c r="A11" s="3">
        <v>60</v>
      </c>
      <c r="B11">
        <f>VLOOKUP($A11,'Case-1'!$A$1:$AN$21,7,FALSE)</f>
        <v>5.2018971760829764</v>
      </c>
      <c r="C11">
        <f>VLOOKUP($A11,'Case-2'!$A$1:$AN$21,7,FALSE)</f>
        <v>5.2095691007855303</v>
      </c>
      <c r="D11">
        <f>VLOOKUP($A11,'Case-3'!$A$1:$AN$21,7,FALSE)</f>
        <v>4.4173338944586709</v>
      </c>
      <c r="E11">
        <f>VLOOKUP($A11,'Case-4'!$A$1:$AN$21,7,FALSE)</f>
        <v>3.5023675617026728</v>
      </c>
      <c r="F11">
        <f>VLOOKUP($A11,'Case-5'!$A$1:$AN$21,7,FALSE)</f>
        <v>3.826893321939973</v>
      </c>
      <c r="G11">
        <f>VLOOKUP($A11,'Case-6'!$A$1:$AN$21,7,FALSE)</f>
        <v>3.2516341268654769</v>
      </c>
    </row>
    <row r="12" spans="1:7">
      <c r="A12" s="2">
        <v>66</v>
      </c>
      <c r="B12">
        <f>VLOOKUP($A12,'Case-1'!$A$1:$AN$21,7,FALSE)</f>
        <v>5.6613108776016654</v>
      </c>
      <c r="C12">
        <f>VLOOKUP($A12,'Case-2'!$A$1:$AN$21,7,FALSE)</f>
        <v>5.3790432579621266</v>
      </c>
      <c r="D12">
        <f>VLOOKUP($A12,'Case-3'!$A$1:$AN$21,7,FALSE)</f>
        <v>4.7830241609081048</v>
      </c>
      <c r="E12">
        <f>VLOOKUP($A12,'Case-4'!$A$1:$AN$21,7,FALSE)</f>
        <v>4.3023488295111649</v>
      </c>
      <c r="F12">
        <f>VLOOKUP($A12,'Case-5'!$A$1:$AN$21,7,FALSE)</f>
        <v>3.5501569911670772</v>
      </c>
      <c r="G12">
        <f>VLOOKUP($A12,'Case-6'!$A$1:$AN$21,7,FALSE)</f>
        <v>3.469898880178103</v>
      </c>
    </row>
    <row r="13" spans="1:7">
      <c r="A13" s="3">
        <v>72</v>
      </c>
      <c r="B13">
        <f>VLOOKUP($A13,'Case-1'!$A$1:$AN$21,7,FALSE)</f>
        <v>4.9680301827275422</v>
      </c>
      <c r="C13">
        <f>VLOOKUP($A13,'Case-2'!$A$1:$AN$21,7,FALSE)</f>
        <v>4.9313866358903713</v>
      </c>
      <c r="D13">
        <f>VLOOKUP($A13,'Case-3'!$A$1:$AN$21,7,FALSE)</f>
        <v>3.9483421238302139</v>
      </c>
      <c r="E13">
        <f>VLOOKUP($A13,'Case-4'!$A$1:$AN$21,7,FALSE)</f>
        <v>3.4084413493020458</v>
      </c>
      <c r="F13">
        <f>VLOOKUP($A13,'Case-5'!$A$1:$AN$21,7,FALSE)</f>
        <v>2.912287315323201</v>
      </c>
      <c r="G13">
        <f>VLOOKUP($A13,'Case-6'!$A$1:$AN$21,7,FALSE)</f>
        <v>3.1566615797648558</v>
      </c>
    </row>
    <row r="14" spans="1:7">
      <c r="A14" s="2">
        <v>78</v>
      </c>
      <c r="B14">
        <f>VLOOKUP($A14,'Case-1'!$A$1:$AN$21,7,FALSE)</f>
        <v>5.2219195965983083</v>
      </c>
      <c r="C14">
        <f>VLOOKUP($A14,'Case-2'!$A$1:$AN$21,7,FALSE)</f>
        <v>4.4752506908359893</v>
      </c>
      <c r="D14">
        <f>VLOOKUP($A14,'Case-3'!$A$1:$AN$21,7,FALSE)</f>
        <v>4.6707738710583326</v>
      </c>
      <c r="E14">
        <f>VLOOKUP($A14,'Case-4'!$A$1:$AN$21,7,FALSE)</f>
        <v>4.8645860243152139</v>
      </c>
      <c r="F14">
        <f>VLOOKUP($A14,'Case-5'!$A$1:$AN$21,7,FALSE)</f>
        <v>3.6003582208806848</v>
      </c>
      <c r="G14">
        <f>VLOOKUP($A14,'Case-6'!$A$1:$AN$21,7,FALSE)</f>
        <v>3.8738640149118688</v>
      </c>
    </row>
    <row r="15" spans="1:7">
      <c r="A15" s="3">
        <v>84</v>
      </c>
      <c r="B15">
        <f>VLOOKUP($A15,'Case-1'!$A$1:$AN$21,7,FALSE)</f>
        <v>4.3265480876107736</v>
      </c>
      <c r="C15">
        <f>VLOOKUP($A15,'Case-2'!$A$1:$AN$21,7,FALSE)</f>
        <v>4.4514592073790658</v>
      </c>
      <c r="D15">
        <f>VLOOKUP($A15,'Case-3'!$A$1:$AN$21,7,FALSE)</f>
        <v>4.568083421566917</v>
      </c>
      <c r="E15">
        <f>VLOOKUP($A15,'Case-4'!$A$1:$AN$21,7,FALSE)</f>
        <v>3.9542299304715511</v>
      </c>
      <c r="F15">
        <f>VLOOKUP($A15,'Case-5'!$A$1:$AN$21,7,FALSE)</f>
        <v>2.842782814493765</v>
      </c>
      <c r="G15">
        <f>VLOOKUP($A15,'Case-6'!$A$1:$AN$21,7,FALSE)</f>
        <v>2.1511228992665079</v>
      </c>
    </row>
    <row r="16" spans="1:7">
      <c r="A16" s="2">
        <v>90</v>
      </c>
      <c r="B16">
        <f>VLOOKUP($A16,'Case-1'!$A$1:$AN$21,7,FALSE)</f>
        <v>4.4324000198863356</v>
      </c>
      <c r="C16">
        <f>VLOOKUP($A16,'Case-2'!$A$1:$AN$21,7,FALSE)</f>
        <v>4.7770021724743819</v>
      </c>
      <c r="D16">
        <f>VLOOKUP($A16,'Case-3'!$A$1:$AN$21,7,FALSE)</f>
        <v>4.6610331874576358</v>
      </c>
      <c r="E16">
        <f>VLOOKUP($A16,'Case-4'!$A$1:$AN$21,7,FALSE)</f>
        <v>3.493310537752262</v>
      </c>
      <c r="F16">
        <f>VLOOKUP($A16,'Case-5'!$A$1:$AN$21,7,FALSE)</f>
        <v>3.9856056098915378</v>
      </c>
      <c r="G16">
        <f>VLOOKUP($A16,'Case-6'!$A$1:$AN$21,7,FALSE)</f>
        <v>2.0614775472531539</v>
      </c>
    </row>
    <row r="17" spans="1:7">
      <c r="A17" s="3">
        <v>96</v>
      </c>
      <c r="B17">
        <f>VLOOKUP($A17,'Case-1'!$A$1:$AN$21,7,FALSE)</f>
        <v>4.5576560678456044</v>
      </c>
      <c r="C17">
        <f>VLOOKUP($A17,'Case-2'!$A$1:$AN$21,7,FALSE)</f>
        <v>3.945223693231882</v>
      </c>
      <c r="D17">
        <f>VLOOKUP($A17,'Case-3'!$A$1:$AN$21,7,FALSE)</f>
        <v>3.0864324078751588</v>
      </c>
      <c r="E17">
        <f>VLOOKUP($A17,'Case-4'!$A$1:$AN$21,7,FALSE)</f>
        <v>3.4450098409924559</v>
      </c>
      <c r="F17">
        <f>VLOOKUP($A17,'Case-5'!$A$1:$AN$21,7,FALSE)</f>
        <v>4.0581935178479966</v>
      </c>
      <c r="G17">
        <f>VLOOKUP($A17,'Case-6'!$A$1:$AN$21,7,FALSE)</f>
        <v>2.9987940385964018</v>
      </c>
    </row>
    <row r="18" spans="1:7">
      <c r="A18" s="2">
        <v>102</v>
      </c>
      <c r="B18">
        <f>VLOOKUP($A18,'Case-1'!$A$1:$AN$21,7,FALSE)</f>
        <v>4.5748134269314287</v>
      </c>
      <c r="C18">
        <f>VLOOKUP($A18,'Case-2'!$A$1:$AN$21,7,FALSE)</f>
        <v>3.6093955670530979</v>
      </c>
      <c r="D18">
        <f>VLOOKUP($A18,'Case-3'!$A$1:$AN$21,7,FALSE)</f>
        <v>4.2004305040090832</v>
      </c>
      <c r="E18">
        <f>VLOOKUP($A18,'Case-4'!$A$1:$AN$21,7,FALSE)</f>
        <v>3.314740436439334</v>
      </c>
      <c r="F18">
        <f>VLOOKUP($A18,'Case-5'!$A$1:$AN$21,7,FALSE)</f>
        <v>2.787964368201981</v>
      </c>
      <c r="G18">
        <f>VLOOKUP($A18,'Case-6'!$A$1:$AN$21,7,FALSE)</f>
        <v>3.6748721415953609</v>
      </c>
    </row>
    <row r="19" spans="1:7">
      <c r="A19" s="3">
        <v>108</v>
      </c>
      <c r="B19">
        <f>VLOOKUP($A19,'Case-1'!$A$1:$AN$21,7,FALSE)</f>
        <v>4.9213816211813723</v>
      </c>
      <c r="C19">
        <f>VLOOKUP($A19,'Case-2'!$A$1:$AN$21,7,FALSE)</f>
        <v>4.0127501416430658</v>
      </c>
      <c r="D19">
        <f>VLOOKUP($A19,'Case-3'!$A$1:$AN$21,7,FALSE)</f>
        <v>3.7866060237035448</v>
      </c>
      <c r="E19">
        <f>VLOOKUP($A19,'Case-4'!$A$1:$AN$21,7,FALSE)</f>
        <v>3.838785163814137</v>
      </c>
      <c r="F19">
        <f>VLOOKUP($A19,'Case-5'!$A$1:$AN$21,7,FALSE)</f>
        <v>2.7329643041859342</v>
      </c>
      <c r="G19">
        <f>VLOOKUP($A19,'Case-6'!$A$1:$AN$21,7,FALSE)</f>
        <v>3.5903788446472871</v>
      </c>
    </row>
    <row r="20" spans="1:7">
      <c r="A20" s="2">
        <v>114</v>
      </c>
      <c r="B20">
        <f>VLOOKUP($A20,'Case-1'!$A$1:$AN$21,7,FALSE)</f>
        <v>4.0131122314856622</v>
      </c>
      <c r="C20">
        <f>VLOOKUP($A20,'Case-2'!$A$1:$AN$21,7,FALSE)</f>
        <v>3.6611321361029439</v>
      </c>
      <c r="D20">
        <f>VLOOKUP($A20,'Case-3'!$A$1:$AN$21,7,FALSE)</f>
        <v>4.0784296034350129</v>
      </c>
      <c r="E20">
        <f>VLOOKUP($A20,'Case-4'!$A$1:$AN$21,7,FALSE)</f>
        <v>3.523753927611851</v>
      </c>
      <c r="F20">
        <f>VLOOKUP($A20,'Case-5'!$A$1:$AN$21,7,FALSE)</f>
        <v>3.176592522455628</v>
      </c>
      <c r="G20">
        <f>VLOOKUP($A20,'Case-6'!$A$1:$AN$21,7,FALSE)</f>
        <v>3.836063992218314</v>
      </c>
    </row>
    <row r="21" spans="1:7">
      <c r="A21" s="3">
        <v>120</v>
      </c>
      <c r="B21">
        <f>VLOOKUP($A21,'Case-1'!$A$1:$AN$21,7,FALSE)</f>
        <v>3.9983545824807951</v>
      </c>
      <c r="C21">
        <f>VLOOKUP($A21,'Case-2'!$A$1:$AN$21,7,FALSE)</f>
        <v>4.2322421556212104</v>
      </c>
      <c r="D21">
        <f>VLOOKUP($A21,'Case-3'!$A$1:$AN$21,7,FALSE)</f>
        <v>3.441490481891027</v>
      </c>
      <c r="E21">
        <f>VLOOKUP($A21,'Case-4'!$A$1:$AN$21,7,FALSE)</f>
        <v>2.95139359658224</v>
      </c>
      <c r="F21">
        <f>VLOOKUP($A21,'Case-5'!$A$1:$AN$21,7,FALSE)</f>
        <v>2.2118550643852761</v>
      </c>
      <c r="G21">
        <f>VLOOKUP($A21,'Case-6'!$A$1:$AN$21,7,FALSE)</f>
        <v>2.526052240952013</v>
      </c>
    </row>
    <row r="22" spans="1:7">
      <c r="B22">
        <f>AVERAGE(B2:B21)</f>
        <v>6.5643647980995681</v>
      </c>
      <c r="C22">
        <f t="shared" ref="C22:G22" si="0">AVERAGE(C2:C21)</f>
        <v>6.43218580477114</v>
      </c>
      <c r="D22">
        <f t="shared" si="0"/>
        <v>6.4101576411172418</v>
      </c>
      <c r="E22">
        <f t="shared" si="0"/>
        <v>6.1039019514779609</v>
      </c>
      <c r="F22">
        <f t="shared" si="0"/>
        <v>5.7995679503856632</v>
      </c>
      <c r="G22">
        <f t="shared" si="0"/>
        <v>5.6844778181013504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5603-0643-4D72-AB87-CC8251A027BE}">
  <dimension ref="A1:G21"/>
  <sheetViews>
    <sheetView workbookViewId="0">
      <selection activeCell="B1" sqref="B1:G1"/>
    </sheetView>
  </sheetViews>
  <sheetFormatPr defaultRowHeight="14.1"/>
  <cols>
    <col min="1" max="1" width="3.8984375" bestFit="1" customWidth="1"/>
    <col min="2" max="2" width="8.84765625" bestFit="1" customWidth="1"/>
    <col min="3" max="7" width="11.34765625" bestFit="1" customWidth="1"/>
  </cols>
  <sheetData>
    <row r="1" spans="1:7">
      <c r="A1" s="1" t="s">
        <v>40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 spans="1:7">
      <c r="A2" s="2">
        <v>6</v>
      </c>
      <c r="B2">
        <f>VLOOKUP($A2,'Case-1'!$A$1:$AN$21,8,FALSE)</f>
        <v>0</v>
      </c>
      <c r="C2">
        <f>VLOOKUP($A2,'Case-2'!$A$1:$AN$21,8,FALSE)</f>
        <v>0</v>
      </c>
      <c r="D2">
        <f>VLOOKUP($A2,'Case-3'!$A$1:$AN$21,8,FALSE)</f>
        <v>0</v>
      </c>
      <c r="E2">
        <f>VLOOKUP($A2,'Case-4'!$A$1:$AN$21,8,FALSE)</f>
        <v>0</v>
      </c>
      <c r="F2">
        <f>VLOOKUP($A2,'Case-5'!$A$1:$AN$21,8,FALSE)</f>
        <v>0</v>
      </c>
      <c r="G2">
        <f>VLOOKUP($A2,'Case-6'!$A$1:$AN$21,8,FALSE)</f>
        <v>0</v>
      </c>
    </row>
    <row r="3" spans="1:7">
      <c r="A3" s="3">
        <v>12</v>
      </c>
      <c r="B3">
        <f>VLOOKUP($A3,'Case-1'!$A$1:$AN$21,8,FALSE)</f>
        <v>0</v>
      </c>
      <c r="C3">
        <f>VLOOKUP($A3,'Case-2'!$A$1:$AN$21,8,FALSE)</f>
        <v>0</v>
      </c>
      <c r="D3">
        <f>VLOOKUP($A3,'Case-3'!$A$1:$AN$21,8,FALSE)</f>
        <v>0</v>
      </c>
      <c r="E3">
        <f>VLOOKUP($A3,'Case-4'!$A$1:$AN$21,8,FALSE)</f>
        <v>0</v>
      </c>
      <c r="F3">
        <f>VLOOKUP($A3,'Case-5'!$A$1:$AN$21,8,FALSE)</f>
        <v>0</v>
      </c>
      <c r="G3">
        <f>VLOOKUP($A3,'Case-6'!$A$1:$AN$21,8,FALSE)</f>
        <v>0</v>
      </c>
    </row>
    <row r="4" spans="1:7">
      <c r="A4" s="2">
        <v>18</v>
      </c>
      <c r="B4">
        <f>VLOOKUP($A4,'Case-1'!$A$1:$AN$21,8,FALSE)</f>
        <v>0</v>
      </c>
      <c r="C4">
        <f>VLOOKUP($A4,'Case-2'!$A$1:$AN$21,8,FALSE)</f>
        <v>0</v>
      </c>
      <c r="D4">
        <f>VLOOKUP($A4,'Case-3'!$A$1:$AN$21,8,FALSE)</f>
        <v>0</v>
      </c>
      <c r="E4">
        <f>VLOOKUP($A4,'Case-4'!$A$1:$AN$21,8,FALSE)</f>
        <v>0</v>
      </c>
      <c r="F4">
        <f>VLOOKUP($A4,'Case-5'!$A$1:$AN$21,8,FALSE)</f>
        <v>0</v>
      </c>
      <c r="G4">
        <f>VLOOKUP($A4,'Case-6'!$A$1:$AN$21,8,FALSE)</f>
        <v>0</v>
      </c>
    </row>
    <row r="5" spans="1:7">
      <c r="A5" s="3">
        <v>24</v>
      </c>
      <c r="B5">
        <f>VLOOKUP($A5,'Case-1'!$A$1:$AN$21,8,FALSE)</f>
        <v>0</v>
      </c>
      <c r="C5">
        <f>VLOOKUP($A5,'Case-2'!$A$1:$AN$21,8,FALSE)</f>
        <v>0</v>
      </c>
      <c r="D5">
        <f>VLOOKUP($A5,'Case-3'!$A$1:$AN$21,8,FALSE)</f>
        <v>0</v>
      </c>
      <c r="E5">
        <f>VLOOKUP($A5,'Case-4'!$A$1:$AN$21,8,FALSE)</f>
        <v>0</v>
      </c>
      <c r="F5">
        <f>VLOOKUP($A5,'Case-5'!$A$1:$AN$21,8,FALSE)</f>
        <v>0</v>
      </c>
      <c r="G5">
        <f>VLOOKUP($A5,'Case-6'!$A$1:$AN$21,8,FALSE)</f>
        <v>0</v>
      </c>
    </row>
    <row r="6" spans="1:7">
      <c r="A6" s="2">
        <v>30</v>
      </c>
      <c r="B6">
        <f>VLOOKUP($A6,'Case-1'!$A$1:$AN$21,8,FALSE)</f>
        <v>0</v>
      </c>
      <c r="C6">
        <f>VLOOKUP($A6,'Case-2'!$A$1:$AN$21,8,FALSE)</f>
        <v>0</v>
      </c>
      <c r="D6">
        <f>VLOOKUP($A6,'Case-3'!$A$1:$AN$21,8,FALSE)</f>
        <v>0</v>
      </c>
      <c r="E6">
        <f>VLOOKUP($A6,'Case-4'!$A$1:$AN$21,8,FALSE)</f>
        <v>0</v>
      </c>
      <c r="F6">
        <f>VLOOKUP($A6,'Case-5'!$A$1:$AN$21,8,FALSE)</f>
        <v>0</v>
      </c>
      <c r="G6">
        <f>VLOOKUP($A6,'Case-6'!$A$1:$AN$21,8,FALSE)</f>
        <v>0</v>
      </c>
    </row>
    <row r="7" spans="1:7">
      <c r="A7" s="3">
        <v>36</v>
      </c>
      <c r="B7">
        <f>VLOOKUP($A7,'Case-1'!$A$1:$AN$21,8,FALSE)</f>
        <v>0.01</v>
      </c>
      <c r="C7">
        <f>VLOOKUP($A7,'Case-2'!$A$1:$AN$21,8,FALSE)</f>
        <v>0.02</v>
      </c>
      <c r="D7">
        <f>VLOOKUP($A7,'Case-3'!$A$1:$AN$21,8,FALSE)</f>
        <v>0.01</v>
      </c>
      <c r="E7">
        <f>VLOOKUP($A7,'Case-4'!$A$1:$AN$21,8,FALSE)</f>
        <v>0</v>
      </c>
      <c r="F7">
        <f>VLOOKUP($A7,'Case-5'!$A$1:$AN$21,8,FALSE)</f>
        <v>0.02</v>
      </c>
      <c r="G7">
        <f>VLOOKUP($A7,'Case-6'!$A$1:$AN$21,8,FALSE)</f>
        <v>0</v>
      </c>
    </row>
    <row r="8" spans="1:7">
      <c r="A8" s="2">
        <v>42</v>
      </c>
      <c r="B8">
        <f>VLOOKUP($A8,'Case-1'!$A$1:$AN$21,8,FALSE)</f>
        <v>0.03</v>
      </c>
      <c r="C8">
        <f>VLOOKUP($A8,'Case-2'!$A$1:$AN$21,8,FALSE)</f>
        <v>0</v>
      </c>
      <c r="D8">
        <f>VLOOKUP($A8,'Case-3'!$A$1:$AN$21,8,FALSE)</f>
        <v>0</v>
      </c>
      <c r="E8">
        <f>VLOOKUP($A8,'Case-4'!$A$1:$AN$21,8,FALSE)</f>
        <v>0.03</v>
      </c>
      <c r="F8">
        <f>VLOOKUP($A8,'Case-5'!$A$1:$AN$21,8,FALSE)</f>
        <v>7.0000000000000007E-2</v>
      </c>
      <c r="G8">
        <f>VLOOKUP($A8,'Case-6'!$A$1:$AN$21,8,FALSE)</f>
        <v>0.09</v>
      </c>
    </row>
    <row r="9" spans="1:7">
      <c r="A9" s="3">
        <v>48</v>
      </c>
      <c r="B9">
        <f>VLOOKUP($A9,'Case-1'!$A$1:$AN$21,8,FALSE)</f>
        <v>0.04</v>
      </c>
      <c r="C9">
        <f>VLOOKUP($A9,'Case-2'!$A$1:$AN$21,8,FALSE)</f>
        <v>0.08</v>
      </c>
      <c r="D9">
        <f>VLOOKUP($A9,'Case-3'!$A$1:$AN$21,8,FALSE)</f>
        <v>0.04</v>
      </c>
      <c r="E9">
        <f>VLOOKUP($A9,'Case-4'!$A$1:$AN$21,8,FALSE)</f>
        <v>0.06</v>
      </c>
      <c r="F9">
        <f>VLOOKUP($A9,'Case-5'!$A$1:$AN$21,8,FALSE)</f>
        <v>0.13</v>
      </c>
      <c r="G9">
        <f>VLOOKUP($A9,'Case-6'!$A$1:$AN$21,8,FALSE)</f>
        <v>0.25</v>
      </c>
    </row>
    <row r="10" spans="1:7">
      <c r="A10" s="2">
        <v>54</v>
      </c>
      <c r="B10">
        <f>VLOOKUP($A10,'Case-1'!$A$1:$AN$21,8,FALSE)</f>
        <v>0.04</v>
      </c>
      <c r="C10">
        <f>VLOOKUP($A10,'Case-2'!$A$1:$AN$21,8,FALSE)</f>
        <v>0.04</v>
      </c>
      <c r="D10">
        <f>VLOOKUP($A10,'Case-3'!$A$1:$AN$21,8,FALSE)</f>
        <v>0.23</v>
      </c>
      <c r="E10">
        <f>VLOOKUP($A10,'Case-4'!$A$1:$AN$21,8,FALSE)</f>
        <v>0.23</v>
      </c>
      <c r="F10">
        <f>VLOOKUP($A10,'Case-5'!$A$1:$AN$21,8,FALSE)</f>
        <v>0.25</v>
      </c>
      <c r="G10">
        <f>VLOOKUP($A10,'Case-6'!$A$1:$AN$21,8,FALSE)</f>
        <v>0.48</v>
      </c>
    </row>
    <row r="11" spans="1:7">
      <c r="A11" s="3">
        <v>60</v>
      </c>
      <c r="B11">
        <f>VLOOKUP($A11,'Case-1'!$A$1:$AN$21,8,FALSE)</f>
        <v>0.06</v>
      </c>
      <c r="C11">
        <f>VLOOKUP($A11,'Case-2'!$A$1:$AN$21,8,FALSE)</f>
        <v>0.12</v>
      </c>
      <c r="D11">
        <f>VLOOKUP($A11,'Case-3'!$A$1:$AN$21,8,FALSE)</f>
        <v>0.18</v>
      </c>
      <c r="E11">
        <f>VLOOKUP($A11,'Case-4'!$A$1:$AN$21,8,FALSE)</f>
        <v>0.16</v>
      </c>
      <c r="F11">
        <f>VLOOKUP($A11,'Case-5'!$A$1:$AN$21,8,FALSE)</f>
        <v>0.41</v>
      </c>
      <c r="G11">
        <f>VLOOKUP($A11,'Case-6'!$A$1:$AN$21,8,FALSE)</f>
        <v>0.64</v>
      </c>
    </row>
    <row r="12" spans="1:7">
      <c r="A12" s="2">
        <v>66</v>
      </c>
      <c r="B12">
        <f>VLOOKUP($A12,'Case-1'!$A$1:$AN$21,8,FALSE)</f>
        <v>0.18</v>
      </c>
      <c r="C12">
        <f>VLOOKUP($A12,'Case-2'!$A$1:$AN$21,8,FALSE)</f>
        <v>0.16</v>
      </c>
      <c r="D12">
        <f>VLOOKUP($A12,'Case-3'!$A$1:$AN$21,8,FALSE)</f>
        <v>0.35</v>
      </c>
      <c r="E12">
        <f>VLOOKUP($A12,'Case-4'!$A$1:$AN$21,8,FALSE)</f>
        <v>0.6</v>
      </c>
      <c r="F12">
        <f>VLOOKUP($A12,'Case-5'!$A$1:$AN$21,8,FALSE)</f>
        <v>0.65</v>
      </c>
      <c r="G12">
        <f>VLOOKUP($A12,'Case-6'!$A$1:$AN$21,8,FALSE)</f>
        <v>0.89</v>
      </c>
    </row>
    <row r="13" spans="1:7">
      <c r="A13" s="3">
        <v>72</v>
      </c>
      <c r="B13">
        <f>VLOOKUP($A13,'Case-1'!$A$1:$AN$21,8,FALSE)</f>
        <v>0.14000000000000001</v>
      </c>
      <c r="C13">
        <f>VLOOKUP($A13,'Case-2'!$A$1:$AN$21,8,FALSE)</f>
        <v>0.15</v>
      </c>
      <c r="D13">
        <f>VLOOKUP($A13,'Case-3'!$A$1:$AN$21,8,FALSE)</f>
        <v>0.28000000000000003</v>
      </c>
      <c r="E13">
        <f>VLOOKUP($A13,'Case-4'!$A$1:$AN$21,8,FALSE)</f>
        <v>0.62</v>
      </c>
      <c r="F13">
        <f>VLOOKUP($A13,'Case-5'!$A$1:$AN$21,8,FALSE)</f>
        <v>0.73</v>
      </c>
      <c r="G13">
        <f>VLOOKUP($A13,'Case-6'!$A$1:$AN$21,8,FALSE)</f>
        <v>1.01</v>
      </c>
    </row>
    <row r="14" spans="1:7">
      <c r="A14" s="2">
        <v>78</v>
      </c>
      <c r="B14">
        <f>VLOOKUP($A14,'Case-1'!$A$1:$AN$21,8,FALSE)</f>
        <v>7.0000000000000007E-2</v>
      </c>
      <c r="C14">
        <f>VLOOKUP($A14,'Case-2'!$A$1:$AN$21,8,FALSE)</f>
        <v>0.17</v>
      </c>
      <c r="D14">
        <f>VLOOKUP($A14,'Case-3'!$A$1:$AN$21,8,FALSE)</f>
        <v>0.37</v>
      </c>
      <c r="E14">
        <f>VLOOKUP($A14,'Case-4'!$A$1:$AN$21,8,FALSE)</f>
        <v>0.72</v>
      </c>
      <c r="F14">
        <f>VLOOKUP($A14,'Case-5'!$A$1:$AN$21,8,FALSE)</f>
        <v>0.82</v>
      </c>
      <c r="G14">
        <f>VLOOKUP($A14,'Case-6'!$A$1:$AN$21,8,FALSE)</f>
        <v>1.1499999999999999</v>
      </c>
    </row>
    <row r="15" spans="1:7">
      <c r="A15" s="3">
        <v>84</v>
      </c>
      <c r="B15">
        <f>VLOOKUP($A15,'Case-1'!$A$1:$AN$21,8,FALSE)</f>
        <v>0.18</v>
      </c>
      <c r="C15">
        <f>VLOOKUP($A15,'Case-2'!$A$1:$AN$21,8,FALSE)</f>
        <v>0.21</v>
      </c>
      <c r="D15">
        <f>VLOOKUP($A15,'Case-3'!$A$1:$AN$21,8,FALSE)</f>
        <v>0.54</v>
      </c>
      <c r="E15">
        <f>VLOOKUP($A15,'Case-4'!$A$1:$AN$21,8,FALSE)</f>
        <v>0.71</v>
      </c>
      <c r="F15">
        <f>VLOOKUP($A15,'Case-5'!$A$1:$AN$21,8,FALSE)</f>
        <v>1.06</v>
      </c>
      <c r="G15">
        <f>VLOOKUP($A15,'Case-6'!$A$1:$AN$21,8,FALSE)</f>
        <v>1.43</v>
      </c>
    </row>
    <row r="16" spans="1:7">
      <c r="A16" s="2">
        <v>90</v>
      </c>
      <c r="B16">
        <f>VLOOKUP($A16,'Case-1'!$A$1:$AN$21,8,FALSE)</f>
        <v>0.22</v>
      </c>
      <c r="C16">
        <f>VLOOKUP($A16,'Case-2'!$A$1:$AN$21,8,FALSE)</f>
        <v>0.2</v>
      </c>
      <c r="D16">
        <f>VLOOKUP($A16,'Case-3'!$A$1:$AN$21,8,FALSE)</f>
        <v>0.51</v>
      </c>
      <c r="E16">
        <f>VLOOKUP($A16,'Case-4'!$A$1:$AN$21,8,FALSE)</f>
        <v>0.73</v>
      </c>
      <c r="F16">
        <f>VLOOKUP($A16,'Case-5'!$A$1:$AN$21,8,FALSE)</f>
        <v>1.06</v>
      </c>
      <c r="G16">
        <f>VLOOKUP($A16,'Case-6'!$A$1:$AN$21,8,FALSE)</f>
        <v>1.1000000000000001</v>
      </c>
    </row>
    <row r="17" spans="1:7">
      <c r="A17" s="3">
        <v>96</v>
      </c>
      <c r="B17">
        <f>VLOOKUP($A17,'Case-1'!$A$1:$AN$21,8,FALSE)</f>
        <v>0.18</v>
      </c>
      <c r="C17">
        <f>VLOOKUP($A17,'Case-2'!$A$1:$AN$21,8,FALSE)</f>
        <v>0.37</v>
      </c>
      <c r="D17">
        <f>VLOOKUP($A17,'Case-3'!$A$1:$AN$21,8,FALSE)</f>
        <v>0.64</v>
      </c>
      <c r="E17">
        <f>VLOOKUP($A17,'Case-4'!$A$1:$AN$21,8,FALSE)</f>
        <v>0.9</v>
      </c>
      <c r="F17">
        <f>VLOOKUP($A17,'Case-5'!$A$1:$AN$21,8,FALSE)</f>
        <v>1.38</v>
      </c>
      <c r="G17">
        <f>VLOOKUP($A17,'Case-6'!$A$1:$AN$21,8,FALSE)</f>
        <v>1.57</v>
      </c>
    </row>
    <row r="18" spans="1:7">
      <c r="A18" s="2">
        <v>102</v>
      </c>
      <c r="B18">
        <f>VLOOKUP($A18,'Case-1'!$A$1:$AN$21,8,FALSE)</f>
        <v>0.19</v>
      </c>
      <c r="C18">
        <f>VLOOKUP($A18,'Case-2'!$A$1:$AN$21,8,FALSE)</f>
        <v>0.35</v>
      </c>
      <c r="D18">
        <f>VLOOKUP($A18,'Case-3'!$A$1:$AN$21,8,FALSE)</f>
        <v>0.71</v>
      </c>
      <c r="E18">
        <f>VLOOKUP($A18,'Case-4'!$A$1:$AN$21,8,FALSE)</f>
        <v>0.98</v>
      </c>
      <c r="F18">
        <f>VLOOKUP($A18,'Case-5'!$A$1:$AN$21,8,FALSE)</f>
        <v>1.22</v>
      </c>
      <c r="G18">
        <f>VLOOKUP($A18,'Case-6'!$A$1:$AN$21,8,FALSE)</f>
        <v>1.92</v>
      </c>
    </row>
    <row r="19" spans="1:7">
      <c r="A19" s="3">
        <v>108</v>
      </c>
      <c r="B19">
        <f>VLOOKUP($A19,'Case-1'!$A$1:$AN$21,8,FALSE)</f>
        <v>0.25</v>
      </c>
      <c r="C19">
        <f>VLOOKUP($A19,'Case-2'!$A$1:$AN$21,8,FALSE)</f>
        <v>0.41</v>
      </c>
      <c r="D19">
        <f>VLOOKUP($A19,'Case-3'!$A$1:$AN$21,8,FALSE)</f>
        <v>0.55000000000000004</v>
      </c>
      <c r="E19">
        <f>VLOOKUP($A19,'Case-4'!$A$1:$AN$21,8,FALSE)</f>
        <v>0.97</v>
      </c>
      <c r="F19">
        <f>VLOOKUP($A19,'Case-5'!$A$1:$AN$21,8,FALSE)</f>
        <v>1.1000000000000001</v>
      </c>
      <c r="G19">
        <f>VLOOKUP($A19,'Case-6'!$A$1:$AN$21,8,FALSE)</f>
        <v>1.68</v>
      </c>
    </row>
    <row r="20" spans="1:7">
      <c r="A20" s="2">
        <v>114</v>
      </c>
      <c r="B20">
        <f>VLOOKUP($A20,'Case-1'!$A$1:$AN$21,8,FALSE)</f>
        <v>0.32</v>
      </c>
      <c r="C20">
        <f>VLOOKUP($A20,'Case-2'!$A$1:$AN$21,8,FALSE)</f>
        <v>0.34</v>
      </c>
      <c r="D20">
        <f>VLOOKUP($A20,'Case-3'!$A$1:$AN$21,8,FALSE)</f>
        <v>0.73</v>
      </c>
      <c r="E20">
        <f>VLOOKUP($A20,'Case-4'!$A$1:$AN$21,8,FALSE)</f>
        <v>0.99</v>
      </c>
      <c r="F20">
        <f>VLOOKUP($A20,'Case-5'!$A$1:$AN$21,8,FALSE)</f>
        <v>1.62</v>
      </c>
      <c r="G20">
        <f>VLOOKUP($A20,'Case-6'!$A$1:$AN$21,8,FALSE)</f>
        <v>2.04</v>
      </c>
    </row>
    <row r="21" spans="1:7">
      <c r="A21" s="3">
        <v>120</v>
      </c>
      <c r="B21">
        <f>VLOOKUP($A21,'Case-1'!$A$1:$AN$21,8,FALSE)</f>
        <v>0.32</v>
      </c>
      <c r="C21">
        <f>VLOOKUP($A21,'Case-2'!$A$1:$AN$21,8,FALSE)</f>
        <v>0.49</v>
      </c>
      <c r="D21">
        <f>VLOOKUP($A21,'Case-3'!$A$1:$AN$21,8,FALSE)</f>
        <v>0.86</v>
      </c>
      <c r="E21">
        <f>VLOOKUP($A21,'Case-4'!$A$1:$AN$21,8,FALSE)</f>
        <v>1.06</v>
      </c>
      <c r="F21">
        <f>VLOOKUP($A21,'Case-5'!$A$1:$AN$21,8,FALSE)</f>
        <v>1.75</v>
      </c>
      <c r="G21">
        <f>VLOOKUP($A21,'Case-6'!$A$1:$AN$21,8,FALSE)</f>
        <v>1.98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2DC7-CF65-4D7C-BE6D-C8FE8A34D29D}">
  <dimension ref="A1:G21"/>
  <sheetViews>
    <sheetView workbookViewId="0">
      <selection activeCell="I19" sqref="I19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VLOOKUP($A2,'Case-1'!$A$1:$AN$21,9,FALSE)</f>
        <v>0</v>
      </c>
      <c r="C2">
        <f>VLOOKUP($A2,'Case-2'!$A$1:$AN$21,9,FALSE)</f>
        <v>0</v>
      </c>
      <c r="D2">
        <f>VLOOKUP($A2,'Case-3'!$A$1:$AN$21,9,FALSE)</f>
        <v>0</v>
      </c>
      <c r="E2">
        <f>VLOOKUP($A2,'Case-4'!$A$1:$AN$21,9,FALSE)</f>
        <v>0</v>
      </c>
      <c r="F2">
        <f>VLOOKUP($A2,'Case-5'!$A$1:$AN$21,9,FALSE)</f>
        <v>0</v>
      </c>
      <c r="G2">
        <f>VLOOKUP($A2,'Case-6'!$A$1:$AN$21,9,FALSE)</f>
        <v>0</v>
      </c>
    </row>
    <row r="3" spans="1:7">
      <c r="A3" s="3">
        <v>12</v>
      </c>
      <c r="B3">
        <f>VLOOKUP($A3,'Case-1'!$A$1:$AN$21,9,FALSE)</f>
        <v>0</v>
      </c>
      <c r="C3">
        <f>VLOOKUP($A3,'Case-2'!$A$1:$AN$21,9,FALSE)</f>
        <v>0</v>
      </c>
      <c r="D3">
        <f>VLOOKUP($A3,'Case-3'!$A$1:$AN$21,9,FALSE)</f>
        <v>0</v>
      </c>
      <c r="E3">
        <f>VLOOKUP($A3,'Case-4'!$A$1:$AN$21,9,FALSE)</f>
        <v>0</v>
      </c>
      <c r="F3">
        <f>VLOOKUP($A3,'Case-5'!$A$1:$AN$21,9,FALSE)</f>
        <v>0</v>
      </c>
      <c r="G3">
        <f>VLOOKUP($A3,'Case-6'!$A$1:$AN$21,9,FALSE)</f>
        <v>0</v>
      </c>
    </row>
    <row r="4" spans="1:7">
      <c r="A4" s="2">
        <v>18</v>
      </c>
      <c r="B4">
        <f>VLOOKUP($A4,'Case-1'!$A$1:$AN$21,9,FALSE)</f>
        <v>0</v>
      </c>
      <c r="C4">
        <f>VLOOKUP($A4,'Case-2'!$A$1:$AN$21,9,FALSE)</f>
        <v>0</v>
      </c>
      <c r="D4">
        <f>VLOOKUP($A4,'Case-3'!$A$1:$AN$21,9,FALSE)</f>
        <v>0</v>
      </c>
      <c r="E4">
        <f>VLOOKUP($A4,'Case-4'!$A$1:$AN$21,9,FALSE)</f>
        <v>0</v>
      </c>
      <c r="F4">
        <f>VLOOKUP($A4,'Case-5'!$A$1:$AN$21,9,FALSE)</f>
        <v>0</v>
      </c>
      <c r="G4">
        <f>VLOOKUP($A4,'Case-6'!$A$1:$AN$21,9,FALSE)</f>
        <v>0</v>
      </c>
    </row>
    <row r="5" spans="1:7">
      <c r="A5" s="3">
        <v>24</v>
      </c>
      <c r="B5">
        <f>VLOOKUP($A5,'Case-1'!$A$1:$AN$21,9,FALSE)</f>
        <v>0</v>
      </c>
      <c r="C5">
        <f>VLOOKUP($A5,'Case-2'!$A$1:$AN$21,9,FALSE)</f>
        <v>0</v>
      </c>
      <c r="D5">
        <f>VLOOKUP($A5,'Case-3'!$A$1:$AN$21,9,FALSE)</f>
        <v>0</v>
      </c>
      <c r="E5">
        <f>VLOOKUP($A5,'Case-4'!$A$1:$AN$21,9,FALSE)</f>
        <v>0</v>
      </c>
      <c r="F5">
        <f>VLOOKUP($A5,'Case-5'!$A$1:$AN$21,9,FALSE)</f>
        <v>0</v>
      </c>
      <c r="G5">
        <f>VLOOKUP($A5,'Case-6'!$A$1:$AN$21,9,FALSE)</f>
        <v>0</v>
      </c>
    </row>
    <row r="6" spans="1:7">
      <c r="A6" s="2">
        <v>30</v>
      </c>
      <c r="B6">
        <f>VLOOKUP($A6,'Case-1'!$A$1:$AN$21,9,FALSE)</f>
        <v>0</v>
      </c>
      <c r="C6">
        <f>VLOOKUP($A6,'Case-2'!$A$1:$AN$21,9,FALSE)</f>
        <v>0</v>
      </c>
      <c r="D6">
        <f>VLOOKUP($A6,'Case-3'!$A$1:$AN$21,9,FALSE)</f>
        <v>0</v>
      </c>
      <c r="E6">
        <f>VLOOKUP($A6,'Case-4'!$A$1:$AN$21,9,FALSE)</f>
        <v>0</v>
      </c>
      <c r="F6">
        <f>VLOOKUP($A6,'Case-5'!$A$1:$AN$21,9,FALSE)</f>
        <v>0</v>
      </c>
      <c r="G6">
        <f>VLOOKUP($A6,'Case-6'!$A$1:$AN$21,9,FALSE)</f>
        <v>0</v>
      </c>
    </row>
    <row r="7" spans="1:7">
      <c r="A7" s="3">
        <v>36</v>
      </c>
      <c r="B7">
        <f>VLOOKUP($A7,'Case-1'!$A$1:$AN$21,9,FALSE)</f>
        <v>9.9498743710661988E-2</v>
      </c>
      <c r="C7">
        <f>VLOOKUP($A7,'Case-2'!$A$1:$AN$21,9,FALSE)</f>
        <v>0.14000000000000001</v>
      </c>
      <c r="D7">
        <f>VLOOKUP($A7,'Case-3'!$A$1:$AN$21,9,FALSE)</f>
        <v>9.9498743710661988E-2</v>
      </c>
      <c r="E7">
        <f>VLOOKUP($A7,'Case-4'!$A$1:$AN$21,9,FALSE)</f>
        <v>0</v>
      </c>
      <c r="F7">
        <f>VLOOKUP($A7,'Case-5'!$A$1:$AN$21,9,FALSE)</f>
        <v>0.198997487421324</v>
      </c>
      <c r="G7">
        <f>VLOOKUP($A7,'Case-6'!$A$1:$AN$21,9,FALSE)</f>
        <v>0</v>
      </c>
    </row>
    <row r="8" spans="1:7">
      <c r="A8" s="2">
        <v>42</v>
      </c>
      <c r="B8">
        <f>VLOOKUP($A8,'Case-1'!$A$1:$AN$21,9,FALSE)</f>
        <v>0.1705872210923198</v>
      </c>
      <c r="C8">
        <f>VLOOKUP($A8,'Case-2'!$A$1:$AN$21,9,FALSE)</f>
        <v>0</v>
      </c>
      <c r="D8">
        <f>VLOOKUP($A8,'Case-3'!$A$1:$AN$21,9,FALSE)</f>
        <v>0</v>
      </c>
      <c r="E8">
        <f>VLOOKUP($A8,'Case-4'!$A$1:$AN$21,9,FALSE)</f>
        <v>0.1705872210923198</v>
      </c>
      <c r="F8">
        <f>VLOOKUP($A8,'Case-5'!$A$1:$AN$21,9,FALSE)</f>
        <v>0.25514701644346138</v>
      </c>
      <c r="G8">
        <f>VLOOKUP($A8,'Case-6'!$A$1:$AN$21,9,FALSE)</f>
        <v>0.40236799077461421</v>
      </c>
    </row>
    <row r="9" spans="1:7">
      <c r="A9" s="3">
        <v>48</v>
      </c>
      <c r="B9">
        <f>VLOOKUP($A9,'Case-1'!$A$1:$AN$21,9,FALSE)</f>
        <v>0.19595917942265431</v>
      </c>
      <c r="C9">
        <f>VLOOKUP($A9,'Case-2'!$A$1:$AN$21,9,FALSE)</f>
        <v>0.30594117081556699</v>
      </c>
      <c r="D9">
        <f>VLOOKUP($A9,'Case-3'!$A$1:$AN$21,9,FALSE)</f>
        <v>0.19595917942265431</v>
      </c>
      <c r="E9">
        <f>VLOOKUP($A9,'Case-4'!$A$1:$AN$21,9,FALSE)</f>
        <v>0.2764054992217051</v>
      </c>
      <c r="F9">
        <f>VLOOKUP($A9,'Case-5'!$A$1:$AN$21,9,FALSE)</f>
        <v>0.39127995093027701</v>
      </c>
      <c r="G9">
        <f>VLOOKUP($A9,'Case-6'!$A$1:$AN$21,9,FALSE)</f>
        <v>0.55452682532047082</v>
      </c>
    </row>
    <row r="10" spans="1:7">
      <c r="A10" s="2">
        <v>54</v>
      </c>
      <c r="B10">
        <f>VLOOKUP($A10,'Case-1'!$A$1:$AN$21,9,FALSE)</f>
        <v>0.19595917942265431</v>
      </c>
      <c r="C10">
        <f>VLOOKUP($A10,'Case-2'!$A$1:$AN$21,9,FALSE)</f>
        <v>0.1959591794226542</v>
      </c>
      <c r="D10">
        <f>VLOOKUP($A10,'Case-3'!$A$1:$AN$21,9,FALSE)</f>
        <v>0.50705029336348884</v>
      </c>
      <c r="E10">
        <f>VLOOKUP($A10,'Case-4'!$A$1:$AN$21,9,FALSE)</f>
        <v>0.52640288753007436</v>
      </c>
      <c r="F10">
        <f>VLOOKUP($A10,'Case-5'!$A$1:$AN$21,9,FALSE)</f>
        <v>0.55452682532047082</v>
      </c>
      <c r="G10">
        <f>VLOOKUP($A10,'Case-6'!$A$1:$AN$21,9,FALSE)</f>
        <v>0.78076885183772549</v>
      </c>
    </row>
    <row r="11" spans="1:7">
      <c r="A11" s="3">
        <v>60</v>
      </c>
      <c r="B11">
        <f>VLOOKUP($A11,'Case-1'!$A$1:$AN$21,9,FALSE)</f>
        <v>0.23748684174075829</v>
      </c>
      <c r="C11">
        <f>VLOOKUP($A11,'Case-2'!$A$1:$AN$21,9,FALSE)</f>
        <v>0.38157568056677832</v>
      </c>
      <c r="D11">
        <f>VLOOKUP($A11,'Case-3'!$A$1:$AN$21,9,FALSE)</f>
        <v>0.43312815655415432</v>
      </c>
      <c r="E11">
        <f>VLOOKUP($A11,'Case-4'!$A$1:$AN$21,9,FALSE)</f>
        <v>0.44090815370097208</v>
      </c>
      <c r="F11">
        <f>VLOOKUP($A11,'Case-5'!$A$1:$AN$21,9,FALSE)</f>
        <v>0.73613857391118975</v>
      </c>
      <c r="G11">
        <f>VLOOKUP($A11,'Case-6'!$A$1:$AN$21,9,FALSE)</f>
        <v>0.92217135067188016</v>
      </c>
    </row>
    <row r="12" spans="1:7">
      <c r="A12" s="2">
        <v>66</v>
      </c>
      <c r="B12">
        <f>VLOOKUP($A12,'Case-1'!$A$1:$AN$21,9,FALSE)</f>
        <v>0.38418745424597089</v>
      </c>
      <c r="C12">
        <f>VLOOKUP($A12,'Case-2'!$A$1:$AN$21,9,FALSE)</f>
        <v>0.39293765408776998</v>
      </c>
      <c r="D12">
        <f>VLOOKUP($A12,'Case-3'!$A$1:$AN$21,9,FALSE)</f>
        <v>0.6224949798994367</v>
      </c>
      <c r="E12">
        <f>VLOOKUP($A12,'Case-4'!$A$1:$AN$21,9,FALSE)</f>
        <v>0.83666002653407545</v>
      </c>
      <c r="F12">
        <f>VLOOKUP($A12,'Case-5'!$A$1:$AN$21,9,FALSE)</f>
        <v>0.8046738469715542</v>
      </c>
      <c r="G12">
        <f>VLOOKUP($A12,'Case-6'!$A$1:$AN$21,9,FALSE)</f>
        <v>1.018773772728764</v>
      </c>
    </row>
    <row r="13" spans="1:7">
      <c r="A13" s="3">
        <v>72</v>
      </c>
      <c r="B13">
        <f>VLOOKUP($A13,'Case-1'!$A$1:$AN$21,9,FALSE)</f>
        <v>0.34698703145794951</v>
      </c>
      <c r="C13">
        <f>VLOOKUP($A13,'Case-2'!$A$1:$AN$21,9,FALSE)</f>
        <v>0.38405728739343042</v>
      </c>
      <c r="D13">
        <f>VLOOKUP($A13,'Case-3'!$A$1:$AN$21,9,FALSE)</f>
        <v>0.53065996645686386</v>
      </c>
      <c r="E13">
        <f>VLOOKUP($A13,'Case-4'!$A$1:$AN$21,9,FALSE)</f>
        <v>0.77175125526298949</v>
      </c>
      <c r="F13">
        <f>VLOOKUP($A13,'Case-5'!$A$1:$AN$21,9,FALSE)</f>
        <v>0.97831487773620207</v>
      </c>
      <c r="G13">
        <f>VLOOKUP($A13,'Case-6'!$A$1:$AN$21,9,FALSE)</f>
        <v>1.0816191566350879</v>
      </c>
    </row>
    <row r="14" spans="1:7">
      <c r="A14" s="2">
        <v>78</v>
      </c>
      <c r="B14">
        <f>VLOOKUP($A14,'Case-1'!$A$1:$AN$21,9,FALSE)</f>
        <v>0.25514701644346138</v>
      </c>
      <c r="C14">
        <f>VLOOKUP($A14,'Case-2'!$A$1:$AN$21,9,FALSE)</f>
        <v>0.44844174649557328</v>
      </c>
      <c r="D14">
        <f>VLOOKUP($A14,'Case-3'!$A$1:$AN$21,9,FALSE)</f>
        <v>0.65810333535091592</v>
      </c>
      <c r="E14">
        <f>VLOOKUP($A14,'Case-4'!$A$1:$AN$21,9,FALSE)</f>
        <v>0.96</v>
      </c>
      <c r="F14">
        <f>VLOOKUP($A14,'Case-5'!$A$1:$AN$21,9,FALSE)</f>
        <v>0.85299472448544478</v>
      </c>
      <c r="G14">
        <f>VLOOKUP($A14,'Case-6'!$A$1:$AN$21,9,FALSE)</f>
        <v>1.134680571791022</v>
      </c>
    </row>
    <row r="15" spans="1:7">
      <c r="A15" s="3">
        <v>84</v>
      </c>
      <c r="B15">
        <f>VLOOKUP($A15,'Case-1'!$A$1:$AN$21,9,FALSE)</f>
        <v>0.4093897898091744</v>
      </c>
      <c r="C15">
        <f>VLOOKUP($A15,'Case-2'!$A$1:$AN$21,9,FALSE)</f>
        <v>0.47528938553264583</v>
      </c>
      <c r="D15">
        <f>VLOOKUP($A15,'Case-3'!$A$1:$AN$21,9,FALSE)</f>
        <v>0.81755733743878778</v>
      </c>
      <c r="E15">
        <f>VLOOKUP($A15,'Case-4'!$A$1:$AN$21,9,FALSE)</f>
        <v>0.87515712874888951</v>
      </c>
      <c r="F15">
        <f>VLOOKUP($A15,'Case-5'!$A$1:$AN$21,9,FALSE)</f>
        <v>1.1208925015361639</v>
      </c>
      <c r="G15">
        <f>VLOOKUP($A15,'Case-6'!$A$1:$AN$21,9,FALSE)</f>
        <v>1.305794777137663</v>
      </c>
    </row>
    <row r="16" spans="1:7">
      <c r="A16" s="2">
        <v>90</v>
      </c>
      <c r="B16">
        <f>VLOOKUP($A16,'Case-1'!$A$1:$AN$21,9,FALSE)</f>
        <v>0.43772137256478583</v>
      </c>
      <c r="C16">
        <f>VLOOKUP($A16,'Case-2'!$A$1:$AN$21,9,FALSE)</f>
        <v>0.42426406871192851</v>
      </c>
      <c r="D16">
        <f>VLOOKUP($A16,'Case-3'!$A$1:$AN$21,9,FALSE)</f>
        <v>0.7279423054061358</v>
      </c>
      <c r="E16">
        <f>VLOOKUP($A16,'Case-4'!$A$1:$AN$21,9,FALSE)</f>
        <v>0.78555712713971348</v>
      </c>
      <c r="F16">
        <f>VLOOKUP($A16,'Case-5'!$A$1:$AN$21,9,FALSE)</f>
        <v>1.0565983153497831</v>
      </c>
      <c r="G16">
        <f>VLOOKUP($A16,'Case-6'!$A$1:$AN$21,9,FALSE)</f>
        <v>0.98488578017961048</v>
      </c>
    </row>
    <row r="17" spans="1:7">
      <c r="A17" s="3">
        <v>96</v>
      </c>
      <c r="B17">
        <f>VLOOKUP($A17,'Case-1'!$A$1:$AN$21,9,FALSE)</f>
        <v>0.40938978980917451</v>
      </c>
      <c r="C17">
        <f>VLOOKUP($A17,'Case-2'!$A$1:$AN$21,9,FALSE)</f>
        <v>0.61081912216301792</v>
      </c>
      <c r="D17">
        <f>VLOOKUP($A17,'Case-3'!$A$1:$AN$21,9,FALSE)</f>
        <v>0.80647380614623798</v>
      </c>
      <c r="E17">
        <f>VLOOKUP($A17,'Case-4'!$A$1:$AN$21,9,FALSE)</f>
        <v>0.97467943448089644</v>
      </c>
      <c r="F17">
        <f>VLOOKUP($A17,'Case-5'!$A$1:$AN$21,9,FALSE)</f>
        <v>1.1382442620105759</v>
      </c>
      <c r="G17">
        <f>VLOOKUP($A17,'Case-6'!$A$1:$AN$21,9,FALSE)</f>
        <v>1.274794101021808</v>
      </c>
    </row>
    <row r="18" spans="1:7">
      <c r="A18" s="2">
        <v>102</v>
      </c>
      <c r="B18">
        <f>VLOOKUP($A18,'Case-1'!$A$1:$AN$21,9,FALSE)</f>
        <v>0.44034077712607989</v>
      </c>
      <c r="C18">
        <f>VLOOKUP($A18,'Case-2'!$A$1:$AN$21,9,FALSE)</f>
        <v>0.62249497989943658</v>
      </c>
      <c r="D18">
        <f>VLOOKUP($A18,'Case-3'!$A$1:$AN$21,9,FALSE)</f>
        <v>0.80367904041352234</v>
      </c>
      <c r="E18">
        <f>VLOOKUP($A18,'Case-4'!$A$1:$AN$21,9,FALSE)</f>
        <v>0.98974744253268976</v>
      </c>
      <c r="F18">
        <f>VLOOKUP($A18,'Case-5'!$A$1:$AN$21,9,FALSE)</f>
        <v>1.0731262740237051</v>
      </c>
      <c r="G18">
        <f>VLOOKUP($A18,'Case-6'!$A$1:$AN$21,9,FALSE)</f>
        <v>1.2623787070447601</v>
      </c>
    </row>
    <row r="19" spans="1:7">
      <c r="A19" s="3">
        <v>108</v>
      </c>
      <c r="B19">
        <f>VLOOKUP($A19,'Case-1'!$A$1:$AN$21,9,FALSE)</f>
        <v>0.53619026473818043</v>
      </c>
      <c r="C19">
        <f>VLOOKUP($A19,'Case-2'!$A$1:$AN$21,9,FALSE)</f>
        <v>0.64953829756219927</v>
      </c>
      <c r="D19">
        <f>VLOOKUP($A19,'Case-3'!$A$1:$AN$21,9,FALSE)</f>
        <v>0.84113019206303608</v>
      </c>
      <c r="E19">
        <f>VLOOKUP($A19,'Case-4'!$A$1:$AN$21,9,FALSE)</f>
        <v>1.053138167573467</v>
      </c>
      <c r="F19">
        <f>VLOOKUP($A19,'Case-5'!$A$1:$AN$21,9,FALSE)</f>
        <v>0.95393920141694577</v>
      </c>
      <c r="G19">
        <f>VLOOKUP($A19,'Case-6'!$A$1:$AN$21,9,FALSE)</f>
        <v>1.1214276615100951</v>
      </c>
    </row>
    <row r="20" spans="1:7">
      <c r="A20" s="2">
        <v>114</v>
      </c>
      <c r="B20">
        <f>VLOOKUP($A20,'Case-1'!$A$1:$AN$21,9,FALSE)</f>
        <v>0.52687759489277963</v>
      </c>
      <c r="C20">
        <f>VLOOKUP($A20,'Case-2'!$A$1:$AN$21,9,FALSE)</f>
        <v>0.55172456896534883</v>
      </c>
      <c r="D20">
        <f>VLOOKUP($A20,'Case-3'!$A$1:$AN$21,9,FALSE)</f>
        <v>0.87011493493675873</v>
      </c>
      <c r="E20">
        <f>VLOOKUP($A20,'Case-4'!$A$1:$AN$21,9,FALSE)</f>
        <v>1.1179892664958819</v>
      </c>
      <c r="F20">
        <f>VLOOKUP($A20,'Case-5'!$A$1:$AN$21,9,FALSE)</f>
        <v>1.405560386465128</v>
      </c>
      <c r="G20">
        <f>VLOOKUP($A20,'Case-6'!$A$1:$AN$21,9,FALSE)</f>
        <v>1.3410443691392171</v>
      </c>
    </row>
    <row r="21" spans="1:7">
      <c r="A21" s="3">
        <v>120</v>
      </c>
      <c r="B21">
        <f>VLOOKUP($A21,'Case-1'!$A$1:$AN$21,9,FALSE)</f>
        <v>0.58103356185335808</v>
      </c>
      <c r="C21">
        <f>VLOOKUP($A21,'Case-2'!$A$1:$AN$21,9,FALSE)</f>
        <v>0.7279423054061358</v>
      </c>
      <c r="D21">
        <f>VLOOKUP($A21,'Case-3'!$A$1:$AN$21,9,FALSE)</f>
        <v>0.97999999999999987</v>
      </c>
      <c r="E21">
        <f>VLOOKUP($A21,'Case-4'!$A$1:$AN$21,9,FALSE)</f>
        <v>1.0938007131100249</v>
      </c>
      <c r="F21">
        <f>VLOOKUP($A21,'Case-5'!$A$1:$AN$21,9,FALSE)</f>
        <v>1.203120941551596</v>
      </c>
      <c r="G21">
        <f>VLOOKUP($A21,'Case-6'!$A$1:$AN$21,9,FALSE)</f>
        <v>1.3926952286842951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DBFB-5543-47E8-8591-75662199E892}">
  <dimension ref="A1:G21"/>
  <sheetViews>
    <sheetView workbookViewId="0">
      <selection activeCell="L15" sqref="L15"/>
    </sheetView>
  </sheetViews>
  <sheetFormatPr defaultRowHeight="14.1"/>
  <cols>
    <col min="1" max="1" width="3.8984375" bestFit="1" customWidth="1"/>
    <col min="2" max="2" width="8.84765625" bestFit="1" customWidth="1"/>
    <col min="3" max="7" width="11.34765625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VLOOKUP($A2,'Case-1'!$A$1:$AN$21,10,FALSE)</f>
        <v>0</v>
      </c>
      <c r="C2">
        <f>VLOOKUP($A2,'Case-2'!$A$1:$AN$21,10,FALSE)</f>
        <v>0</v>
      </c>
      <c r="D2">
        <f>VLOOKUP($A2,'Case-3'!$A$1:$AN$21,10,FALSE)</f>
        <v>0</v>
      </c>
      <c r="E2">
        <f>VLOOKUP($A2,'Case-4'!$A$1:$AN$21,10,FALSE)</f>
        <v>0</v>
      </c>
      <c r="F2">
        <f>VLOOKUP($A2,'Case-5'!$A$1:$AN$21,10,FALSE)</f>
        <v>0</v>
      </c>
      <c r="G2">
        <f>VLOOKUP($A2,'Case-6'!$A$1:$AN$21,10,FALSE)</f>
        <v>0</v>
      </c>
    </row>
    <row r="3" spans="1:7">
      <c r="A3" s="3">
        <v>12</v>
      </c>
      <c r="B3">
        <f>VLOOKUP($A3,'Case-1'!$A$1:$AN$21,10,FALSE)</f>
        <v>0</v>
      </c>
      <c r="C3">
        <f>VLOOKUP($A3,'Case-2'!$A$1:$AN$21,10,FALSE)</f>
        <v>0</v>
      </c>
      <c r="D3">
        <f>VLOOKUP($A3,'Case-3'!$A$1:$AN$21,10,FALSE)</f>
        <v>0</v>
      </c>
      <c r="E3">
        <f>VLOOKUP($A3,'Case-4'!$A$1:$AN$21,10,FALSE)</f>
        <v>0</v>
      </c>
      <c r="F3">
        <f>VLOOKUP($A3,'Case-5'!$A$1:$AN$21,10,FALSE)</f>
        <v>0</v>
      </c>
      <c r="G3">
        <f>VLOOKUP($A3,'Case-6'!$A$1:$AN$21,10,FALSE)</f>
        <v>0</v>
      </c>
    </row>
    <row r="4" spans="1:7">
      <c r="A4" s="2">
        <v>18</v>
      </c>
      <c r="B4">
        <f>VLOOKUP($A4,'Case-1'!$A$1:$AN$21,10,FALSE)</f>
        <v>0</v>
      </c>
      <c r="C4">
        <f>VLOOKUP($A4,'Case-2'!$A$1:$AN$21,10,FALSE)</f>
        <v>0</v>
      </c>
      <c r="D4">
        <f>VLOOKUP($A4,'Case-3'!$A$1:$AN$21,10,FALSE)</f>
        <v>0</v>
      </c>
      <c r="E4">
        <f>VLOOKUP($A4,'Case-4'!$A$1:$AN$21,10,FALSE)</f>
        <v>0</v>
      </c>
      <c r="F4">
        <f>VLOOKUP($A4,'Case-5'!$A$1:$AN$21,10,FALSE)</f>
        <v>0</v>
      </c>
      <c r="G4">
        <f>VLOOKUP($A4,'Case-6'!$A$1:$AN$21,10,FALSE)</f>
        <v>0</v>
      </c>
    </row>
    <row r="5" spans="1:7">
      <c r="A5" s="3">
        <v>24</v>
      </c>
      <c r="B5">
        <f>VLOOKUP($A5,'Case-1'!$A$1:$AN$21,10,FALSE)</f>
        <v>0</v>
      </c>
      <c r="C5">
        <f>VLOOKUP($A5,'Case-2'!$A$1:$AN$21,10,FALSE)</f>
        <v>0</v>
      </c>
      <c r="D5">
        <f>VLOOKUP($A5,'Case-3'!$A$1:$AN$21,10,FALSE)</f>
        <v>0</v>
      </c>
      <c r="E5">
        <f>VLOOKUP($A5,'Case-4'!$A$1:$AN$21,10,FALSE)</f>
        <v>0</v>
      </c>
      <c r="F5">
        <f>VLOOKUP($A5,'Case-5'!$A$1:$AN$21,10,FALSE)</f>
        <v>0</v>
      </c>
      <c r="G5">
        <f>VLOOKUP($A5,'Case-6'!$A$1:$AN$21,10,FALSE)</f>
        <v>0</v>
      </c>
    </row>
    <row r="6" spans="1:7">
      <c r="A6" s="2">
        <v>30</v>
      </c>
      <c r="B6">
        <f>VLOOKUP($A6,'Case-1'!$A$1:$AN$21,10,FALSE)</f>
        <v>0</v>
      </c>
      <c r="C6">
        <f>VLOOKUP($A6,'Case-2'!$A$1:$AN$21,10,FALSE)</f>
        <v>0</v>
      </c>
      <c r="D6">
        <f>VLOOKUP($A6,'Case-3'!$A$1:$AN$21,10,FALSE)</f>
        <v>0</v>
      </c>
      <c r="E6">
        <f>VLOOKUP($A6,'Case-4'!$A$1:$AN$21,10,FALSE)</f>
        <v>0</v>
      </c>
      <c r="F6">
        <f>VLOOKUP($A6,'Case-5'!$A$1:$AN$21,10,FALSE)</f>
        <v>0</v>
      </c>
      <c r="G6">
        <f>VLOOKUP($A6,'Case-6'!$A$1:$AN$21,10,FALSE)</f>
        <v>0</v>
      </c>
    </row>
    <row r="7" spans="1:7">
      <c r="A7" s="3">
        <v>36</v>
      </c>
      <c r="B7">
        <f>VLOOKUP($A7,'Case-1'!$A$1:$AN$21,10,FALSE)</f>
        <v>1.54E-2</v>
      </c>
      <c r="C7">
        <f>VLOOKUP($A7,'Case-2'!$A$1:$AN$21,10,FALSE)</f>
        <v>4.4299999999999999E-2</v>
      </c>
      <c r="D7">
        <f>VLOOKUP($A7,'Case-3'!$A$1:$AN$21,10,FALSE)</f>
        <v>0.01</v>
      </c>
      <c r="E7">
        <f>VLOOKUP($A7,'Case-4'!$A$1:$AN$21,10,FALSE)</f>
        <v>0</v>
      </c>
      <c r="F7">
        <f>VLOOKUP($A7,'Case-5'!$A$1:$AN$21,10,FALSE)</f>
        <v>0.02</v>
      </c>
      <c r="G7">
        <f>VLOOKUP($A7,'Case-6'!$A$1:$AN$21,10,FALSE)</f>
        <v>0</v>
      </c>
    </row>
    <row r="8" spans="1:7">
      <c r="A8" s="2">
        <v>42</v>
      </c>
      <c r="B8">
        <f>VLOOKUP($A8,'Case-1'!$A$1:$AN$21,10,FALSE)</f>
        <v>3.4599999999999999E-2</v>
      </c>
      <c r="C8">
        <f>VLOOKUP($A8,'Case-2'!$A$1:$AN$21,10,FALSE)</f>
        <v>5.7000000000000002E-3</v>
      </c>
      <c r="D8">
        <f>VLOOKUP($A8,'Case-3'!$A$1:$AN$21,10,FALSE)</f>
        <v>4.3E-3</v>
      </c>
      <c r="E8">
        <f>VLOOKUP($A8,'Case-4'!$A$1:$AN$21,10,FALSE)</f>
        <v>4.2700000000000002E-2</v>
      </c>
      <c r="F8">
        <f>VLOOKUP($A8,'Case-5'!$A$1:$AN$21,10,FALSE)</f>
        <v>7.8E-2</v>
      </c>
      <c r="G8">
        <f>VLOOKUP($A8,'Case-6'!$A$1:$AN$21,10,FALSE)</f>
        <v>0.09</v>
      </c>
    </row>
    <row r="9" spans="1:7">
      <c r="A9" s="3">
        <v>48</v>
      </c>
      <c r="B9">
        <f>VLOOKUP($A9,'Case-1'!$A$1:$AN$21,10,FALSE)</f>
        <v>7.0400000000000004E-2</v>
      </c>
      <c r="C9">
        <f>VLOOKUP($A9,'Case-2'!$A$1:$AN$21,10,FALSE)</f>
        <v>0.1004</v>
      </c>
      <c r="D9">
        <f>VLOOKUP($A9,'Case-3'!$A$1:$AN$21,10,FALSE)</f>
        <v>5.3999999999999999E-2</v>
      </c>
      <c r="E9">
        <f>VLOOKUP($A9,'Case-4'!$A$1:$AN$21,10,FALSE)</f>
        <v>6.7299999999999999E-2</v>
      </c>
      <c r="F9">
        <f>VLOOKUP($A9,'Case-5'!$A$1:$AN$21,10,FALSE)</f>
        <v>0.13</v>
      </c>
      <c r="G9">
        <f>VLOOKUP($A9,'Case-6'!$A$1:$AN$21,10,FALSE)</f>
        <v>0.25459999999999999</v>
      </c>
    </row>
    <row r="10" spans="1:7">
      <c r="A10" s="2">
        <v>54</v>
      </c>
      <c r="B10">
        <f>VLOOKUP($A10,'Case-1'!$A$1:$AN$21,10,FALSE)</f>
        <v>5.0900000000000001E-2</v>
      </c>
      <c r="C10">
        <f>VLOOKUP($A10,'Case-2'!$A$1:$AN$21,10,FALSE)</f>
        <v>5.5300000000000002E-2</v>
      </c>
      <c r="D10">
        <f>VLOOKUP($A10,'Case-3'!$A$1:$AN$21,10,FALSE)</f>
        <v>0.27560000000000001</v>
      </c>
      <c r="E10">
        <f>VLOOKUP($A10,'Case-4'!$A$1:$AN$21,10,FALSE)</f>
        <v>0.25619999999999998</v>
      </c>
      <c r="F10">
        <f>VLOOKUP($A10,'Case-5'!$A$1:$AN$21,10,FALSE)</f>
        <v>0.2666</v>
      </c>
      <c r="G10">
        <f>VLOOKUP($A10,'Case-6'!$A$1:$AN$21,10,FALSE)</f>
        <v>0.48249999999999998</v>
      </c>
    </row>
    <row r="11" spans="1:7">
      <c r="A11" s="3">
        <v>60</v>
      </c>
      <c r="B11">
        <f>VLOOKUP($A11,'Case-1'!$A$1:$AN$21,10,FALSE)</f>
        <v>0.12770000000000001</v>
      </c>
      <c r="C11">
        <f>VLOOKUP($A11,'Case-2'!$A$1:$AN$21,10,FALSE)</f>
        <v>0.1545</v>
      </c>
      <c r="D11">
        <f>VLOOKUP($A11,'Case-3'!$A$1:$AN$21,10,FALSE)</f>
        <v>0.23130000000000001</v>
      </c>
      <c r="E11">
        <f>VLOOKUP($A11,'Case-4'!$A$1:$AN$21,10,FALSE)</f>
        <v>0.17419999999999999</v>
      </c>
      <c r="F11">
        <f>VLOOKUP($A11,'Case-5'!$A$1:$AN$21,10,FALSE)</f>
        <v>0.45529999999999998</v>
      </c>
      <c r="G11">
        <f>VLOOKUP($A11,'Case-6'!$A$1:$AN$21,10,FALSE)</f>
        <v>0.66310000000000002</v>
      </c>
    </row>
    <row r="12" spans="1:7">
      <c r="A12" s="2">
        <v>66</v>
      </c>
      <c r="B12">
        <f>VLOOKUP($A12,'Case-1'!$A$1:$AN$21,10,FALSE)</f>
        <v>0.27160000000000001</v>
      </c>
      <c r="C12">
        <f>VLOOKUP($A12,'Case-2'!$A$1:$AN$21,10,FALSE)</f>
        <v>0.26889999999999997</v>
      </c>
      <c r="D12">
        <f>VLOOKUP($A12,'Case-3'!$A$1:$AN$21,10,FALSE)</f>
        <v>0.45579999999999998</v>
      </c>
      <c r="E12">
        <f>VLOOKUP($A12,'Case-4'!$A$1:$AN$21,10,FALSE)</f>
        <v>0.63549999999999995</v>
      </c>
      <c r="F12">
        <f>VLOOKUP($A12,'Case-5'!$A$1:$AN$21,10,FALSE)</f>
        <v>0.67730000000000001</v>
      </c>
      <c r="G12">
        <f>VLOOKUP($A12,'Case-6'!$A$1:$AN$21,10,FALSE)</f>
        <v>0.89970000000000006</v>
      </c>
    </row>
    <row r="13" spans="1:7">
      <c r="A13" s="3">
        <v>72</v>
      </c>
      <c r="B13">
        <f>VLOOKUP($A13,'Case-1'!$A$1:$AN$21,10,FALSE)</f>
        <v>0.249</v>
      </c>
      <c r="C13">
        <f>VLOOKUP($A13,'Case-2'!$A$1:$AN$21,10,FALSE)</f>
        <v>0.27179999999999999</v>
      </c>
      <c r="D13">
        <f>VLOOKUP($A13,'Case-3'!$A$1:$AN$21,10,FALSE)</f>
        <v>0.36049999999999999</v>
      </c>
      <c r="E13">
        <f>VLOOKUP($A13,'Case-4'!$A$1:$AN$21,10,FALSE)</f>
        <v>0.66810000000000003</v>
      </c>
      <c r="F13">
        <f>VLOOKUP($A13,'Case-5'!$A$1:$AN$21,10,FALSE)</f>
        <v>0.78639999999999999</v>
      </c>
      <c r="G13">
        <f>VLOOKUP($A13,'Case-6'!$A$1:$AN$21,10,FALSE)</f>
        <v>1.0423</v>
      </c>
    </row>
    <row r="14" spans="1:7">
      <c r="A14" s="2">
        <v>78</v>
      </c>
      <c r="B14">
        <f>VLOOKUP($A14,'Case-1'!$A$1:$AN$21,10,FALSE)</f>
        <v>0.20699999999999999</v>
      </c>
      <c r="C14">
        <f>VLOOKUP($A14,'Case-2'!$A$1:$AN$21,10,FALSE)</f>
        <v>0.30819999999999997</v>
      </c>
      <c r="D14">
        <f>VLOOKUP($A14,'Case-3'!$A$1:$AN$21,10,FALSE)</f>
        <v>0.46060000000000001</v>
      </c>
      <c r="E14">
        <f>VLOOKUP($A14,'Case-4'!$A$1:$AN$21,10,FALSE)</f>
        <v>0.8216</v>
      </c>
      <c r="F14">
        <f>VLOOKUP($A14,'Case-5'!$A$1:$AN$21,10,FALSE)</f>
        <v>0.90469999999999995</v>
      </c>
      <c r="G14">
        <f>VLOOKUP($A14,'Case-6'!$A$1:$AN$21,10,FALSE)</f>
        <v>1.2000999999999999</v>
      </c>
    </row>
    <row r="15" spans="1:7">
      <c r="A15" s="3">
        <v>84</v>
      </c>
      <c r="B15">
        <f>VLOOKUP($A15,'Case-1'!$A$1:$AN$21,10,FALSE)</f>
        <v>0.3533</v>
      </c>
      <c r="C15">
        <f>VLOOKUP($A15,'Case-2'!$A$1:$AN$21,10,FALSE)</f>
        <v>0.4582</v>
      </c>
      <c r="D15">
        <f>VLOOKUP($A15,'Case-3'!$A$1:$AN$21,10,FALSE)</f>
        <v>0.65720000000000001</v>
      </c>
      <c r="E15">
        <f>VLOOKUP($A15,'Case-4'!$A$1:$AN$21,10,FALSE)</f>
        <v>0.82489999999999997</v>
      </c>
      <c r="F15">
        <f>VLOOKUP($A15,'Case-5'!$A$1:$AN$21,10,FALSE)</f>
        <v>1.1005</v>
      </c>
      <c r="G15">
        <f>VLOOKUP($A15,'Case-6'!$A$1:$AN$21,10,FALSE)</f>
        <v>1.4539</v>
      </c>
    </row>
    <row r="16" spans="1:7">
      <c r="A16" s="2">
        <v>90</v>
      </c>
      <c r="B16">
        <f>VLOOKUP($A16,'Case-1'!$A$1:$AN$21,10,FALSE)</f>
        <v>0.44890000000000002</v>
      </c>
      <c r="C16">
        <f>VLOOKUP($A16,'Case-2'!$A$1:$AN$21,10,FALSE)</f>
        <v>0.33960000000000001</v>
      </c>
      <c r="D16">
        <f>VLOOKUP($A16,'Case-3'!$A$1:$AN$21,10,FALSE)</f>
        <v>0.68120000000000003</v>
      </c>
      <c r="E16">
        <f>VLOOKUP($A16,'Case-4'!$A$1:$AN$21,10,FALSE)</f>
        <v>0.85040000000000004</v>
      </c>
      <c r="F16">
        <f>VLOOKUP($A16,'Case-5'!$A$1:$AN$21,10,FALSE)</f>
        <v>1.1448</v>
      </c>
      <c r="G16">
        <f>VLOOKUP($A16,'Case-6'!$A$1:$AN$21,10,FALSE)</f>
        <v>1.1504000000000001</v>
      </c>
    </row>
    <row r="17" spans="1:7">
      <c r="A17" s="3">
        <v>96</v>
      </c>
      <c r="B17">
        <f>VLOOKUP($A17,'Case-1'!$A$1:$AN$21,10,FALSE)</f>
        <v>0.46429999999999999</v>
      </c>
      <c r="C17">
        <f>VLOOKUP($A17,'Case-2'!$A$1:$AN$21,10,FALSE)</f>
        <v>0.5464</v>
      </c>
      <c r="D17">
        <f>VLOOKUP($A17,'Case-3'!$A$1:$AN$21,10,FALSE)</f>
        <v>0.80879999999999996</v>
      </c>
      <c r="E17">
        <f>VLOOKUP($A17,'Case-4'!$A$1:$AN$21,10,FALSE)</f>
        <v>1.0216000000000001</v>
      </c>
      <c r="F17">
        <f>VLOOKUP($A17,'Case-5'!$A$1:$AN$21,10,FALSE)</f>
        <v>1.4698</v>
      </c>
      <c r="G17">
        <f>VLOOKUP($A17,'Case-6'!$A$1:$AN$21,10,FALSE)</f>
        <v>1.5849</v>
      </c>
    </row>
    <row r="18" spans="1:7">
      <c r="A18" s="2">
        <v>102</v>
      </c>
      <c r="B18">
        <f>VLOOKUP($A18,'Case-1'!$A$1:$AN$21,10,FALSE)</f>
        <v>0.41399999999999998</v>
      </c>
      <c r="C18">
        <f>VLOOKUP($A18,'Case-2'!$A$1:$AN$21,10,FALSE)</f>
        <v>0.56210000000000004</v>
      </c>
      <c r="D18">
        <f>VLOOKUP($A18,'Case-3'!$A$1:$AN$21,10,FALSE)</f>
        <v>0.90210000000000001</v>
      </c>
      <c r="E18">
        <f>VLOOKUP($A18,'Case-4'!$A$1:$AN$21,10,FALSE)</f>
        <v>1.1289</v>
      </c>
      <c r="F18">
        <f>VLOOKUP($A18,'Case-5'!$A$1:$AN$21,10,FALSE)</f>
        <v>1.3070999999999999</v>
      </c>
      <c r="G18">
        <f>VLOOKUP($A18,'Case-6'!$A$1:$AN$21,10,FALSE)</f>
        <v>1.9896</v>
      </c>
    </row>
    <row r="19" spans="1:7">
      <c r="A19" s="3">
        <v>108</v>
      </c>
      <c r="B19">
        <f>VLOOKUP($A19,'Case-1'!$A$1:$AN$21,10,FALSE)</f>
        <v>0.52149999999999996</v>
      </c>
      <c r="C19">
        <f>VLOOKUP($A19,'Case-2'!$A$1:$AN$21,10,FALSE)</f>
        <v>0.74280000000000002</v>
      </c>
      <c r="D19">
        <f>VLOOKUP($A19,'Case-3'!$A$1:$AN$21,10,FALSE)</f>
        <v>0.7984</v>
      </c>
      <c r="E19">
        <f>VLOOKUP($A19,'Case-4'!$A$1:$AN$21,10,FALSE)</f>
        <v>1.0927</v>
      </c>
      <c r="F19">
        <f>VLOOKUP($A19,'Case-5'!$A$1:$AN$21,10,FALSE)</f>
        <v>1.1769000000000001</v>
      </c>
      <c r="G19">
        <f>VLOOKUP($A19,'Case-6'!$A$1:$AN$21,10,FALSE)</f>
        <v>1.7012</v>
      </c>
    </row>
    <row r="20" spans="1:7">
      <c r="A20" s="2">
        <v>114</v>
      </c>
      <c r="B20">
        <f>VLOOKUP($A20,'Case-1'!$A$1:$AN$21,10,FALSE)</f>
        <v>0.68079999999999996</v>
      </c>
      <c r="C20">
        <f>VLOOKUP($A20,'Case-2'!$A$1:$AN$21,10,FALSE)</f>
        <v>0.62580000000000002</v>
      </c>
      <c r="D20">
        <f>VLOOKUP($A20,'Case-3'!$A$1:$AN$21,10,FALSE)</f>
        <v>0.93979999999999997</v>
      </c>
      <c r="E20">
        <f>VLOOKUP($A20,'Case-4'!$A$1:$AN$21,10,FALSE)</f>
        <v>1.1396999999999999</v>
      </c>
      <c r="F20">
        <f>VLOOKUP($A20,'Case-5'!$A$1:$AN$21,10,FALSE)</f>
        <v>1.7266999999999999</v>
      </c>
      <c r="G20">
        <f>VLOOKUP($A20,'Case-6'!$A$1:$AN$21,10,FALSE)</f>
        <v>2.0798000000000001</v>
      </c>
    </row>
    <row r="21" spans="1:7">
      <c r="A21" s="3">
        <v>120</v>
      </c>
      <c r="B21">
        <f>VLOOKUP($A21,'Case-1'!$A$1:$AN$21,10,FALSE)</f>
        <v>0.68100000000000005</v>
      </c>
      <c r="C21">
        <f>VLOOKUP($A21,'Case-2'!$A$1:$AN$21,10,FALSE)</f>
        <v>0.76729999999999998</v>
      </c>
      <c r="D21">
        <f>VLOOKUP($A21,'Case-3'!$A$1:$AN$21,10,FALSE)</f>
        <v>1.0882000000000001</v>
      </c>
      <c r="E21">
        <f>VLOOKUP($A21,'Case-4'!$A$1:$AN$21,10,FALSE)</f>
        <v>1.2534000000000001</v>
      </c>
      <c r="F21">
        <f>VLOOKUP($A21,'Case-5'!$A$1:$AN$21,10,FALSE)</f>
        <v>1.8428</v>
      </c>
      <c r="G21">
        <f>VLOOKUP($A21,'Case-6'!$A$1:$AN$21,10,FALSE)</f>
        <v>2.0467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9909-EA7C-4DF9-854C-582C816CE0B6}">
  <dimension ref="A1:G21"/>
  <sheetViews>
    <sheetView workbookViewId="0">
      <selection activeCell="J11" sqref="J11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VLOOKUP($A2,'Case-1'!$A$1:$AN$21,11,FALSE)</f>
        <v>0</v>
      </c>
      <c r="C2">
        <f>VLOOKUP($A2,'Case-2'!$A$1:$AN$21,11,FALSE)</f>
        <v>0</v>
      </c>
      <c r="D2">
        <f>VLOOKUP($A2,'Case-3'!$A$1:$AN$21,11,FALSE)</f>
        <v>0</v>
      </c>
      <c r="E2">
        <f>VLOOKUP($A2,'Case-4'!$A$1:$AN$21,11,FALSE)</f>
        <v>0</v>
      </c>
      <c r="F2">
        <f>VLOOKUP($A2,'Case-5'!$A$1:$AN$21,11,FALSE)</f>
        <v>0</v>
      </c>
      <c r="G2">
        <f>VLOOKUP($A2,'Case-6'!$A$1:$AN$21,11,FALSE)</f>
        <v>0</v>
      </c>
    </row>
    <row r="3" spans="1:7">
      <c r="A3" s="3">
        <v>12</v>
      </c>
      <c r="B3">
        <f>VLOOKUP($A3,'Case-1'!$A$1:$AN$21,11,FALSE)</f>
        <v>0</v>
      </c>
      <c r="C3">
        <f>VLOOKUP($A3,'Case-2'!$A$1:$AN$21,11,FALSE)</f>
        <v>0</v>
      </c>
      <c r="D3">
        <f>VLOOKUP($A3,'Case-3'!$A$1:$AN$21,11,FALSE)</f>
        <v>0</v>
      </c>
      <c r="E3">
        <f>VLOOKUP($A3,'Case-4'!$A$1:$AN$21,11,FALSE)</f>
        <v>0</v>
      </c>
      <c r="F3">
        <f>VLOOKUP($A3,'Case-5'!$A$1:$AN$21,11,FALSE)</f>
        <v>0</v>
      </c>
      <c r="G3">
        <f>VLOOKUP($A3,'Case-6'!$A$1:$AN$21,11,FALSE)</f>
        <v>0</v>
      </c>
    </row>
    <row r="4" spans="1:7">
      <c r="A4" s="2">
        <v>18</v>
      </c>
      <c r="B4">
        <f>VLOOKUP($A4,'Case-1'!$A$1:$AN$21,11,FALSE)</f>
        <v>0</v>
      </c>
      <c r="C4">
        <f>VLOOKUP($A4,'Case-2'!$A$1:$AN$21,11,FALSE)</f>
        <v>0</v>
      </c>
      <c r="D4">
        <f>VLOOKUP($A4,'Case-3'!$A$1:$AN$21,11,FALSE)</f>
        <v>0</v>
      </c>
      <c r="E4">
        <f>VLOOKUP($A4,'Case-4'!$A$1:$AN$21,11,FALSE)</f>
        <v>0</v>
      </c>
      <c r="F4">
        <f>VLOOKUP($A4,'Case-5'!$A$1:$AN$21,11,FALSE)</f>
        <v>0</v>
      </c>
      <c r="G4">
        <f>VLOOKUP($A4,'Case-6'!$A$1:$AN$21,11,FALSE)</f>
        <v>0</v>
      </c>
    </row>
    <row r="5" spans="1:7">
      <c r="A5" s="3">
        <v>24</v>
      </c>
      <c r="B5">
        <f>VLOOKUP($A5,'Case-1'!$A$1:$AN$21,11,FALSE)</f>
        <v>0</v>
      </c>
      <c r="C5">
        <f>VLOOKUP($A5,'Case-2'!$A$1:$AN$21,11,FALSE)</f>
        <v>0</v>
      </c>
      <c r="D5">
        <f>VLOOKUP($A5,'Case-3'!$A$1:$AN$21,11,FALSE)</f>
        <v>0</v>
      </c>
      <c r="E5">
        <f>VLOOKUP($A5,'Case-4'!$A$1:$AN$21,11,FALSE)</f>
        <v>0</v>
      </c>
      <c r="F5">
        <f>VLOOKUP($A5,'Case-5'!$A$1:$AN$21,11,FALSE)</f>
        <v>0</v>
      </c>
      <c r="G5">
        <f>VLOOKUP($A5,'Case-6'!$A$1:$AN$21,11,FALSE)</f>
        <v>0</v>
      </c>
    </row>
    <row r="6" spans="1:7">
      <c r="A6" s="2">
        <v>30</v>
      </c>
      <c r="B6">
        <f>VLOOKUP($A6,'Case-1'!$A$1:$AN$21,11,FALSE)</f>
        <v>0</v>
      </c>
      <c r="C6">
        <f>VLOOKUP($A6,'Case-2'!$A$1:$AN$21,11,FALSE)</f>
        <v>0</v>
      </c>
      <c r="D6">
        <f>VLOOKUP($A6,'Case-3'!$A$1:$AN$21,11,FALSE)</f>
        <v>0</v>
      </c>
      <c r="E6">
        <f>VLOOKUP($A6,'Case-4'!$A$1:$AN$21,11,FALSE)</f>
        <v>0</v>
      </c>
      <c r="F6">
        <f>VLOOKUP($A6,'Case-5'!$A$1:$AN$21,11,FALSE)</f>
        <v>0</v>
      </c>
      <c r="G6">
        <f>VLOOKUP($A6,'Case-6'!$A$1:$AN$21,11,FALSE)</f>
        <v>0</v>
      </c>
    </row>
    <row r="7" spans="1:7">
      <c r="A7" s="3">
        <v>36</v>
      </c>
      <c r="B7">
        <f>VLOOKUP($A7,'Case-1'!$A$1:$AN$21,11,FALSE)</f>
        <v>0.1231374841386651</v>
      </c>
      <c r="C7">
        <f>VLOOKUP($A7,'Case-2'!$A$1:$AN$21,11,FALSE)</f>
        <v>0.24194526240453651</v>
      </c>
      <c r="D7">
        <f>VLOOKUP($A7,'Case-3'!$A$1:$AN$21,11,FALSE)</f>
        <v>9.9498743710661988E-2</v>
      </c>
      <c r="E7">
        <f>VLOOKUP($A7,'Case-4'!$A$1:$AN$21,11,FALSE)</f>
        <v>0</v>
      </c>
      <c r="F7">
        <f>VLOOKUP($A7,'Case-5'!$A$1:$AN$21,11,FALSE)</f>
        <v>0.198997487421324</v>
      </c>
      <c r="G7">
        <f>VLOOKUP($A7,'Case-6'!$A$1:$AN$21,11,FALSE)</f>
        <v>0</v>
      </c>
    </row>
    <row r="8" spans="1:7">
      <c r="A8" s="2">
        <v>42</v>
      </c>
      <c r="B8">
        <f>VLOOKUP($A8,'Case-1'!$A$1:$AN$21,11,FALSE)</f>
        <v>0.18276443855411259</v>
      </c>
      <c r="C8">
        <f>VLOOKUP($A8,'Case-2'!$A$1:$AN$21,11,FALSE)</f>
        <v>7.5282866576665372E-2</v>
      </c>
      <c r="D8">
        <f>VLOOKUP($A8,'Case-3'!$A$1:$AN$21,11,FALSE)</f>
        <v>6.543324842921984E-2</v>
      </c>
      <c r="E8">
        <f>VLOOKUP($A8,'Case-4'!$A$1:$AN$21,11,FALSE)</f>
        <v>0.22688479455441701</v>
      </c>
      <c r="F8">
        <f>VLOOKUP($A8,'Case-5'!$A$1:$AN$21,11,FALSE)</f>
        <v>0.29650632370996738</v>
      </c>
      <c r="G8">
        <f>VLOOKUP($A8,'Case-6'!$A$1:$AN$21,11,FALSE)</f>
        <v>0.40236799077461421</v>
      </c>
    </row>
    <row r="9" spans="1:7">
      <c r="A9" s="3">
        <v>48</v>
      </c>
      <c r="B9">
        <f>VLOOKUP($A9,'Case-1'!$A$1:$AN$21,11,FALSE)</f>
        <v>0.27394130758248197</v>
      </c>
      <c r="C9">
        <f>VLOOKUP($A9,'Case-2'!$A$1:$AN$21,11,FALSE)</f>
        <v>0.33603547431781661</v>
      </c>
      <c r="D9">
        <f>VLOOKUP($A9,'Case-3'!$A$1:$AN$21,11,FALSE)</f>
        <v>0.23808401878328581</v>
      </c>
      <c r="E9">
        <f>VLOOKUP($A9,'Case-4'!$A$1:$AN$21,11,FALSE)</f>
        <v>0.28769899200379562</v>
      </c>
      <c r="F9">
        <f>VLOOKUP($A9,'Case-5'!$A$1:$AN$21,11,FALSE)</f>
        <v>0.39127995093027712</v>
      </c>
      <c r="G9">
        <f>VLOOKUP($A9,'Case-6'!$A$1:$AN$21,11,FALSE)</f>
        <v>0.55657779330476354</v>
      </c>
    </row>
    <row r="10" spans="1:7">
      <c r="A10" s="2">
        <v>54</v>
      </c>
      <c r="B10">
        <f>VLOOKUP($A10,'Case-1'!$A$1:$AN$21,11,FALSE)</f>
        <v>0.2197935167378692</v>
      </c>
      <c r="C10">
        <f>VLOOKUP($A10,'Case-2'!$A$1:$AN$21,11,FALSE)</f>
        <v>0.24050345111868979</v>
      </c>
      <c r="D10">
        <f>VLOOKUP($A10,'Case-3'!$A$1:$AN$21,11,FALSE)</f>
        <v>0.58124404513078665</v>
      </c>
      <c r="E10">
        <f>VLOOKUP($A10,'Case-4'!$A$1:$AN$21,11,FALSE)</f>
        <v>0.56014423142615688</v>
      </c>
      <c r="F10">
        <f>VLOOKUP($A10,'Case-5'!$A$1:$AN$21,11,FALSE)</f>
        <v>0.57456456556247881</v>
      </c>
      <c r="G10">
        <f>VLOOKUP($A10,'Case-6'!$A$1:$AN$21,11,FALSE)</f>
        <v>0.78402407488545911</v>
      </c>
    </row>
    <row r="11" spans="1:7">
      <c r="A11" s="3">
        <v>60</v>
      </c>
      <c r="B11">
        <f>VLOOKUP($A11,'Case-1'!$A$1:$AN$21,11,FALSE)</f>
        <v>0.389862424452524</v>
      </c>
      <c r="C11">
        <f>VLOOKUP($A11,'Case-2'!$A$1:$AN$21,11,FALSE)</f>
        <v>0.44858639078777229</v>
      </c>
      <c r="D11">
        <f>VLOOKUP($A11,'Case-3'!$A$1:$AN$21,11,FALSE)</f>
        <v>0.47707474257185323</v>
      </c>
      <c r="E11">
        <f>VLOOKUP($A11,'Case-4'!$A$1:$AN$21,11,FALSE)</f>
        <v>0.46244389930022861</v>
      </c>
      <c r="F11">
        <f>VLOOKUP($A11,'Case-5'!$A$1:$AN$21,11,FALSE)</f>
        <v>0.80312010932363054</v>
      </c>
      <c r="G11">
        <f>VLOOKUP($A11,'Case-6'!$A$1:$AN$21,11,FALSE)</f>
        <v>0.94021188569385794</v>
      </c>
    </row>
    <row r="12" spans="1:7">
      <c r="A12" s="2">
        <v>66</v>
      </c>
      <c r="B12">
        <f>VLOOKUP($A12,'Case-1'!$A$1:$AN$21,11,FALSE)</f>
        <v>0.50973859967634394</v>
      </c>
      <c r="C12">
        <f>VLOOKUP($A12,'Case-2'!$A$1:$AN$21,11,FALSE)</f>
        <v>0.53869545199490965</v>
      </c>
      <c r="D12">
        <f>VLOOKUP($A12,'Case-3'!$A$1:$AN$21,11,FALSE)</f>
        <v>0.73146863227345571</v>
      </c>
      <c r="E12">
        <f>VLOOKUP($A12,'Case-4'!$A$1:$AN$21,11,FALSE)</f>
        <v>0.86973544828298222</v>
      </c>
      <c r="F12">
        <f>VLOOKUP($A12,'Case-5'!$A$1:$AN$21,11,FALSE)</f>
        <v>0.83580183656175344</v>
      </c>
      <c r="G12">
        <f>VLOOKUP($A12,'Case-6'!$A$1:$AN$21,11,FALSE)</f>
        <v>1.0200195635378759</v>
      </c>
    </row>
    <row r="13" spans="1:7">
      <c r="A13" s="3">
        <v>72</v>
      </c>
      <c r="B13">
        <f>VLOOKUP($A13,'Case-1'!$A$1:$AN$21,11,FALSE)</f>
        <v>0.50714790741952187</v>
      </c>
      <c r="C13">
        <f>VLOOKUP($A13,'Case-2'!$A$1:$AN$21,11,FALSE)</f>
        <v>0.50963198486751193</v>
      </c>
      <c r="D13">
        <f>VLOOKUP($A13,'Case-3'!$A$1:$AN$21,11,FALSE)</f>
        <v>0.61313925824399784</v>
      </c>
      <c r="E13">
        <f>VLOOKUP($A13,'Case-4'!$A$1:$AN$21,11,FALSE)</f>
        <v>0.83507029045464187</v>
      </c>
      <c r="F13">
        <f>VLOOKUP($A13,'Case-5'!$A$1:$AN$21,11,FALSE)</f>
        <v>1.0065659640579949</v>
      </c>
      <c r="G13">
        <f>VLOOKUP($A13,'Case-6'!$A$1:$AN$21,11,FALSE)</f>
        <v>1.0815316500223191</v>
      </c>
    </row>
    <row r="14" spans="1:7">
      <c r="A14" s="2">
        <v>78</v>
      </c>
      <c r="B14">
        <f>VLOOKUP($A14,'Case-1'!$A$1:$AN$21,11,FALSE)</f>
        <v>0.43191550099527581</v>
      </c>
      <c r="C14">
        <f>VLOOKUP($A14,'Case-2'!$A$1:$AN$21,11,FALSE)</f>
        <v>0.57498935642322979</v>
      </c>
      <c r="D14">
        <f>VLOOKUP($A14,'Case-3'!$A$1:$AN$21,11,FALSE)</f>
        <v>0.69846090799700444</v>
      </c>
      <c r="E14">
        <f>VLOOKUP($A14,'Case-4'!$A$1:$AN$21,11,FALSE)</f>
        <v>1.003181658524517</v>
      </c>
      <c r="F14">
        <f>VLOOKUP($A14,'Case-5'!$A$1:$AN$21,11,FALSE)</f>
        <v>0.90907530491153477</v>
      </c>
      <c r="G14">
        <f>VLOOKUP($A14,'Case-6'!$A$1:$AN$21,11,FALSE)</f>
        <v>1.167758532402996</v>
      </c>
    </row>
    <row r="15" spans="1:7">
      <c r="A15" s="3">
        <v>84</v>
      </c>
      <c r="B15">
        <f>VLOOKUP($A15,'Case-1'!$A$1:$AN$21,11,FALSE)</f>
        <v>0.60570546472687536</v>
      </c>
      <c r="C15">
        <f>VLOOKUP($A15,'Case-2'!$A$1:$AN$21,11,FALSE)</f>
        <v>0.71235718568706818</v>
      </c>
      <c r="D15">
        <f>VLOOKUP($A15,'Case-3'!$A$1:$AN$21,11,FALSE)</f>
        <v>0.84858008461193568</v>
      </c>
      <c r="E15">
        <f>VLOOKUP($A15,'Case-4'!$A$1:$AN$21,11,FALSE)</f>
        <v>0.92652036674862137</v>
      </c>
      <c r="F15">
        <f>VLOOKUP($A15,'Case-5'!$A$1:$AN$21,11,FALSE)</f>
        <v>1.1579290781390721</v>
      </c>
      <c r="G15">
        <f>VLOOKUP($A15,'Case-6'!$A$1:$AN$21,11,FALSE)</f>
        <v>1.350805237626802</v>
      </c>
    </row>
    <row r="16" spans="1:7">
      <c r="A16" s="2">
        <v>90</v>
      </c>
      <c r="B16">
        <f>VLOOKUP($A16,'Case-1'!$A$1:$AN$21,11,FALSE)</f>
        <v>0.69281223285966886</v>
      </c>
      <c r="C16">
        <f>VLOOKUP($A16,'Case-2'!$A$1:$AN$21,11,FALSE)</f>
        <v>0.58143945514558948</v>
      </c>
      <c r="D16">
        <f>VLOOKUP($A16,'Case-3'!$A$1:$AN$21,11,FALSE)</f>
        <v>0.88790008446896773</v>
      </c>
      <c r="E16">
        <f>VLOOKUP($A16,'Case-4'!$A$1:$AN$21,11,FALSE)</f>
        <v>0.81364601639779455</v>
      </c>
      <c r="F16">
        <f>VLOOKUP($A16,'Case-5'!$A$1:$AN$21,11,FALSE)</f>
        <v>1.1107803383207679</v>
      </c>
      <c r="G16">
        <f>VLOOKUP($A16,'Case-6'!$A$1:$AN$21,11,FALSE)</f>
        <v>1.01743788016763</v>
      </c>
    </row>
    <row r="17" spans="1:7">
      <c r="A17" s="3">
        <v>96</v>
      </c>
      <c r="B17">
        <f>VLOOKUP($A17,'Case-1'!$A$1:$AN$21,11,FALSE)</f>
        <v>0.67403672748597321</v>
      </c>
      <c r="C17">
        <f>VLOOKUP($A17,'Case-2'!$A$1:$AN$21,11,FALSE)</f>
        <v>0.77488517859099604</v>
      </c>
      <c r="D17">
        <f>VLOOKUP($A17,'Case-3'!$A$1:$AN$21,11,FALSE)</f>
        <v>0.96054284651961253</v>
      </c>
      <c r="E17">
        <f>VLOOKUP($A17,'Case-4'!$A$1:$AN$21,11,FALSE)</f>
        <v>1.040833050974074</v>
      </c>
      <c r="F17">
        <f>VLOOKUP($A17,'Case-5'!$A$1:$AN$21,11,FALSE)</f>
        <v>1.19066702314291</v>
      </c>
      <c r="G17">
        <f>VLOOKUP($A17,'Case-6'!$A$1:$AN$21,11,FALSE)</f>
        <v>1.2763980531166601</v>
      </c>
    </row>
    <row r="18" spans="1:7">
      <c r="A18" s="2">
        <v>102</v>
      </c>
      <c r="B18">
        <f>VLOOKUP($A18,'Case-1'!$A$1:$AN$21,11,FALSE)</f>
        <v>0.66483381382116846</v>
      </c>
      <c r="C18">
        <f>VLOOKUP($A18,'Case-2'!$A$1:$AN$21,11,FALSE)</f>
        <v>0.75983129048493392</v>
      </c>
      <c r="D18">
        <f>VLOOKUP($A18,'Case-3'!$A$1:$AN$21,11,FALSE)</f>
        <v>0.92049746876349425</v>
      </c>
      <c r="E18">
        <f>VLOOKUP($A18,'Case-4'!$A$1:$AN$21,11,FALSE)</f>
        <v>1.0993110524323859</v>
      </c>
      <c r="F18">
        <f>VLOOKUP($A18,'Case-5'!$A$1:$AN$21,11,FALSE)</f>
        <v>1.0891233125775981</v>
      </c>
      <c r="G18">
        <f>VLOOKUP($A18,'Case-6'!$A$1:$AN$21,11,FALSE)</f>
        <v>1.2648683093508191</v>
      </c>
    </row>
    <row r="19" spans="1:7">
      <c r="A19" s="3">
        <v>108</v>
      </c>
      <c r="B19">
        <f>VLOOKUP($A19,'Case-1'!$A$1:$AN$21,11,FALSE)</f>
        <v>0.78698014587408738</v>
      </c>
      <c r="C19">
        <f>VLOOKUP($A19,'Case-2'!$A$1:$AN$21,11,FALSE)</f>
        <v>0.89030790179577768</v>
      </c>
      <c r="D19">
        <f>VLOOKUP($A19,'Case-3'!$A$1:$AN$21,11,FALSE)</f>
        <v>0.99124035430363711</v>
      </c>
      <c r="E19">
        <f>VLOOKUP($A19,'Case-4'!$A$1:$AN$21,11,FALSE)</f>
        <v>1.1270788393009601</v>
      </c>
      <c r="F19">
        <f>VLOOKUP($A19,'Case-5'!$A$1:$AN$21,11,FALSE)</f>
        <v>0.99489013966367168</v>
      </c>
      <c r="G19">
        <f>VLOOKUP($A19,'Case-6'!$A$1:$AN$21,11,FALSE)</f>
        <v>1.152006319427112</v>
      </c>
    </row>
    <row r="20" spans="1:7">
      <c r="A20" s="2">
        <v>114</v>
      </c>
      <c r="B20">
        <f>VLOOKUP($A20,'Case-1'!$A$1:$AN$21,11,FALSE)</f>
        <v>0.84232497291722264</v>
      </c>
      <c r="C20">
        <f>VLOOKUP($A20,'Case-2'!$A$1:$AN$21,11,FALSE)</f>
        <v>0.73155612224900435</v>
      </c>
      <c r="D20">
        <f>VLOOKUP($A20,'Case-3'!$A$1:$AN$21,11,FALSE)</f>
        <v>0.96642431674704876</v>
      </c>
      <c r="E20">
        <f>VLOOKUP($A20,'Case-4'!$A$1:$AN$21,11,FALSE)</f>
        <v>1.2160525934350039</v>
      </c>
      <c r="F20">
        <f>VLOOKUP($A20,'Case-5'!$A$1:$AN$21,11,FALSE)</f>
        <v>1.4201433413567801</v>
      </c>
      <c r="G20">
        <f>VLOOKUP($A20,'Case-6'!$A$1:$AN$21,11,FALSE)</f>
        <v>1.349085601435283</v>
      </c>
    </row>
    <row r="21" spans="1:7">
      <c r="A21" s="3">
        <v>120</v>
      </c>
      <c r="B21">
        <f>VLOOKUP($A21,'Case-1'!$A$1:$AN$21,11,FALSE)</f>
        <v>0.86766295299499785</v>
      </c>
      <c r="C21">
        <f>VLOOKUP($A21,'Case-2'!$A$1:$AN$21,11,FALSE)</f>
        <v>0.91178435498751564</v>
      </c>
      <c r="D21">
        <f>VLOOKUP($A21,'Case-3'!$A$1:$AN$21,11,FALSE)</f>
        <v>1.099190957022482</v>
      </c>
      <c r="E21">
        <f>VLOOKUP($A21,'Case-4'!$A$1:$AN$21,11,FALSE)</f>
        <v>1.1098596487844761</v>
      </c>
      <c r="F21">
        <f>VLOOKUP($A21,'Case-5'!$A$1:$AN$21,11,FALSE)</f>
        <v>1.2459888282003171</v>
      </c>
      <c r="G21">
        <f>VLOOKUP($A21,'Case-6'!$A$1:$AN$21,11,FALSE)</f>
        <v>1.4049623162206171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EAB4-43F3-47D4-A24B-74DA2C28787C}">
  <dimension ref="A1:G21"/>
  <sheetViews>
    <sheetView workbookViewId="0">
      <selection activeCell="H1" sqref="H1"/>
    </sheetView>
  </sheetViews>
  <sheetFormatPr defaultRowHeight="14.1"/>
  <sheetData>
    <row r="1" spans="1:7">
      <c r="A1" s="1" t="s">
        <v>40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 spans="1:7">
      <c r="A2" s="2">
        <v>6</v>
      </c>
      <c r="B2">
        <f>VLOOKUP($A2,'Case-1'!$A$1:$AN$21,12,FALSE)</f>
        <v>1</v>
      </c>
      <c r="C2">
        <f>VLOOKUP($A2,'Case-2'!$A$1:$AN$21,12,FALSE)</f>
        <v>1</v>
      </c>
      <c r="D2">
        <f>VLOOKUP($A2,'Case-3'!$A$1:$AN$21,12,FALSE)</f>
        <v>1</v>
      </c>
      <c r="E2">
        <f>VLOOKUP($A2,'Case-4'!$A$1:$AN$21,12,FALSE)</f>
        <v>1</v>
      </c>
      <c r="F2">
        <f>VLOOKUP($A2,'Case-5'!$A$1:$AN$21,12,FALSE)</f>
        <v>1</v>
      </c>
      <c r="G2">
        <f>VLOOKUP($A2,'Case-6'!$A$1:$AN$21,12,FALSE)</f>
        <v>1</v>
      </c>
    </row>
    <row r="3" spans="1:7">
      <c r="A3" s="3">
        <v>12</v>
      </c>
      <c r="B3">
        <f>VLOOKUP($A3,'Case-1'!$A$1:$AN$21,12,FALSE)</f>
        <v>1</v>
      </c>
      <c r="C3">
        <f>VLOOKUP($A3,'Case-2'!$A$1:$AN$21,12,FALSE)</f>
        <v>1</v>
      </c>
      <c r="D3">
        <f>VLOOKUP($A3,'Case-3'!$A$1:$AN$21,12,FALSE)</f>
        <v>1</v>
      </c>
      <c r="E3">
        <f>VLOOKUP($A3,'Case-4'!$A$1:$AN$21,12,FALSE)</f>
        <v>1</v>
      </c>
      <c r="F3">
        <f>VLOOKUP($A3,'Case-5'!$A$1:$AN$21,12,FALSE)</f>
        <v>1</v>
      </c>
      <c r="G3">
        <f>VLOOKUP($A3,'Case-6'!$A$1:$AN$21,12,FALSE)</f>
        <v>1</v>
      </c>
    </row>
    <row r="4" spans="1:7">
      <c r="A4" s="2">
        <v>18</v>
      </c>
      <c r="B4">
        <f>VLOOKUP($A4,'Case-1'!$A$1:$AN$21,12,FALSE)</f>
        <v>1</v>
      </c>
      <c r="C4">
        <f>VLOOKUP($A4,'Case-2'!$A$1:$AN$21,12,FALSE)</f>
        <v>1</v>
      </c>
      <c r="D4">
        <f>VLOOKUP($A4,'Case-3'!$A$1:$AN$21,12,FALSE)</f>
        <v>1</v>
      </c>
      <c r="E4">
        <f>VLOOKUP($A4,'Case-4'!$A$1:$AN$21,12,FALSE)</f>
        <v>1</v>
      </c>
      <c r="F4">
        <f>VLOOKUP($A4,'Case-5'!$A$1:$AN$21,12,FALSE)</f>
        <v>1</v>
      </c>
      <c r="G4">
        <f>VLOOKUP($A4,'Case-6'!$A$1:$AN$21,12,FALSE)</f>
        <v>1</v>
      </c>
    </row>
    <row r="5" spans="1:7">
      <c r="A5" s="3">
        <v>24</v>
      </c>
      <c r="B5">
        <f>VLOOKUP($A5,'Case-1'!$A$1:$AN$21,12,FALSE)</f>
        <v>1</v>
      </c>
      <c r="C5">
        <f>VLOOKUP($A5,'Case-2'!$A$1:$AN$21,12,FALSE)</f>
        <v>1</v>
      </c>
      <c r="D5">
        <f>VLOOKUP($A5,'Case-3'!$A$1:$AN$21,12,FALSE)</f>
        <v>1</v>
      </c>
      <c r="E5">
        <f>VLOOKUP($A5,'Case-4'!$A$1:$AN$21,12,FALSE)</f>
        <v>1</v>
      </c>
      <c r="F5">
        <f>VLOOKUP($A5,'Case-5'!$A$1:$AN$21,12,FALSE)</f>
        <v>1</v>
      </c>
      <c r="G5">
        <f>VLOOKUP($A5,'Case-6'!$A$1:$AN$21,12,FALSE)</f>
        <v>1</v>
      </c>
    </row>
    <row r="6" spans="1:7">
      <c r="A6" s="2">
        <v>30</v>
      </c>
      <c r="B6">
        <f>VLOOKUP($A6,'Case-1'!$A$1:$AN$21,12,FALSE)</f>
        <v>1</v>
      </c>
      <c r="C6">
        <f>VLOOKUP($A6,'Case-2'!$A$1:$AN$21,12,FALSE)</f>
        <v>1</v>
      </c>
      <c r="D6">
        <f>VLOOKUP($A6,'Case-3'!$A$1:$AN$21,12,FALSE)</f>
        <v>1</v>
      </c>
      <c r="E6">
        <f>VLOOKUP($A6,'Case-4'!$A$1:$AN$21,12,FALSE)</f>
        <v>1</v>
      </c>
      <c r="F6">
        <f>VLOOKUP($A6,'Case-5'!$A$1:$AN$21,12,FALSE)</f>
        <v>1</v>
      </c>
      <c r="G6">
        <f>VLOOKUP($A6,'Case-6'!$A$1:$AN$21,12,FALSE)</f>
        <v>1</v>
      </c>
    </row>
    <row r="7" spans="1:7">
      <c r="A7" s="3">
        <v>36</v>
      </c>
      <c r="B7">
        <f>VLOOKUP($A7,'Case-1'!$A$1:$AN$21,12,FALSE)</f>
        <v>0.98460000000000003</v>
      </c>
      <c r="C7">
        <f>VLOOKUP($A7,'Case-2'!$A$1:$AN$21,12,FALSE)</f>
        <v>0.96379999999999999</v>
      </c>
      <c r="D7">
        <f>VLOOKUP($A7,'Case-3'!$A$1:$AN$21,12,FALSE)</f>
        <v>0.99</v>
      </c>
      <c r="E7">
        <f>VLOOKUP($A7,'Case-4'!$A$1:$AN$21,12,FALSE)</f>
        <v>1</v>
      </c>
      <c r="F7">
        <f>VLOOKUP($A7,'Case-5'!$A$1:$AN$21,12,FALSE)</f>
        <v>0.99</v>
      </c>
      <c r="G7">
        <f>VLOOKUP($A7,'Case-6'!$A$1:$AN$21,12,FALSE)</f>
        <v>1</v>
      </c>
    </row>
    <row r="8" spans="1:7">
      <c r="A8" s="2">
        <v>42</v>
      </c>
      <c r="B8">
        <f>VLOOKUP($A8,'Case-1'!$A$1:$AN$21,12,FALSE)</f>
        <v>0.96540000000000004</v>
      </c>
      <c r="C8">
        <f>VLOOKUP($A8,'Case-2'!$A$1:$AN$21,12,FALSE)</f>
        <v>0.99429999999999996</v>
      </c>
      <c r="D8">
        <f>VLOOKUP($A8,'Case-3'!$A$1:$AN$21,12,FALSE)</f>
        <v>0.99570000000000003</v>
      </c>
      <c r="E8">
        <f>VLOOKUP($A8,'Case-4'!$A$1:$AN$21,12,FALSE)</f>
        <v>0.96260000000000001</v>
      </c>
      <c r="F8">
        <f>VLOOKUP($A8,'Case-5'!$A$1:$AN$21,12,FALSE)</f>
        <v>0.93</v>
      </c>
      <c r="G8">
        <f>VLOOKUP($A8,'Case-6'!$A$1:$AN$21,12,FALSE)</f>
        <v>0.94</v>
      </c>
    </row>
    <row r="9" spans="1:7">
      <c r="A9" s="3">
        <v>48</v>
      </c>
      <c r="B9">
        <f>VLOOKUP($A9,'Case-1'!$A$1:$AN$21,12,FALSE)</f>
        <v>0.93440000000000001</v>
      </c>
      <c r="C9">
        <f>VLOOKUP($A9,'Case-2'!$A$1:$AN$21,12,FALSE)</f>
        <v>0.91090000000000004</v>
      </c>
      <c r="D9">
        <f>VLOOKUP($A9,'Case-3'!$A$1:$AN$21,12,FALSE)</f>
        <v>0.94879999999999998</v>
      </c>
      <c r="E9">
        <f>VLOOKUP($A9,'Case-4'!$A$1:$AN$21,12,FALSE)</f>
        <v>0.94269999999999998</v>
      </c>
      <c r="F9">
        <f>VLOOKUP($A9,'Case-5'!$A$1:$AN$21,12,FALSE)</f>
        <v>0.89</v>
      </c>
      <c r="G9">
        <f>VLOOKUP($A9,'Case-6'!$A$1:$AN$21,12,FALSE)</f>
        <v>0.8054</v>
      </c>
    </row>
    <row r="10" spans="1:7">
      <c r="A10" s="2">
        <v>54</v>
      </c>
      <c r="B10">
        <f>VLOOKUP($A10,'Case-1'!$A$1:$AN$21,12,FALSE)</f>
        <v>0.94910000000000005</v>
      </c>
      <c r="C10">
        <f>VLOOKUP($A10,'Case-2'!$A$1:$AN$21,12,FALSE)</f>
        <v>0.94750000000000001</v>
      </c>
      <c r="D10">
        <f>VLOOKUP($A10,'Case-3'!$A$1:$AN$21,12,FALSE)</f>
        <v>0.78569999999999995</v>
      </c>
      <c r="E10">
        <f>VLOOKUP($A10,'Case-4'!$A$1:$AN$21,12,FALSE)</f>
        <v>0.8054</v>
      </c>
      <c r="F10">
        <f>VLOOKUP($A10,'Case-5'!$A$1:$AN$21,12,FALSE)</f>
        <v>0.80069999999999997</v>
      </c>
      <c r="G10">
        <f>VLOOKUP($A10,'Case-6'!$A$1:$AN$21,12,FALSE)</f>
        <v>0.66</v>
      </c>
    </row>
    <row r="11" spans="1:7">
      <c r="A11" s="3">
        <v>60</v>
      </c>
      <c r="B11">
        <f>VLOOKUP($A11,'Case-1'!$A$1:$AN$21,12,FALSE)</f>
        <v>0.89259999999999995</v>
      </c>
      <c r="C11">
        <f>VLOOKUP($A11,'Case-2'!$A$1:$AN$21,12,FALSE)</f>
        <v>0.87539999999999996</v>
      </c>
      <c r="D11">
        <f>VLOOKUP($A11,'Case-3'!$A$1:$AN$21,12,FALSE)</f>
        <v>0.79359999999999997</v>
      </c>
      <c r="E11">
        <f>VLOOKUP($A11,'Case-4'!$A$1:$AN$21,12,FALSE)</f>
        <v>0.85829999999999995</v>
      </c>
      <c r="F11">
        <f>VLOOKUP($A11,'Case-5'!$A$1:$AN$21,12,FALSE)</f>
        <v>0.69269999999999998</v>
      </c>
      <c r="G11">
        <f>VLOOKUP($A11,'Case-6'!$A$1:$AN$21,12,FALSE)</f>
        <v>0.6018</v>
      </c>
    </row>
    <row r="12" spans="1:7">
      <c r="A12" s="2">
        <v>66</v>
      </c>
      <c r="B12">
        <f>VLOOKUP($A12,'Case-1'!$A$1:$AN$21,12,FALSE)</f>
        <v>0.75829999999999997</v>
      </c>
      <c r="C12">
        <f>VLOOKUP($A12,'Case-2'!$A$1:$AN$21,12,FALSE)</f>
        <v>0.77059999999999995</v>
      </c>
      <c r="D12">
        <f>VLOOKUP($A12,'Case-3'!$A$1:$AN$21,12,FALSE)</f>
        <v>0.66410000000000002</v>
      </c>
      <c r="E12">
        <f>VLOOKUP($A12,'Case-4'!$A$1:$AN$21,12,FALSE)</f>
        <v>0.5575</v>
      </c>
      <c r="F12">
        <f>VLOOKUP($A12,'Case-5'!$A$1:$AN$21,12,FALSE)</f>
        <v>0.52759999999999996</v>
      </c>
      <c r="G12">
        <f>VLOOKUP($A12,'Case-6'!$A$1:$AN$21,12,FALSE)</f>
        <v>0.44540000000000002</v>
      </c>
    </row>
    <row r="13" spans="1:7">
      <c r="A13" s="3">
        <v>72</v>
      </c>
      <c r="B13">
        <f>VLOOKUP($A13,'Case-1'!$A$1:$AN$21,12,FALSE)</f>
        <v>0.78310000000000002</v>
      </c>
      <c r="C13">
        <f>VLOOKUP($A13,'Case-2'!$A$1:$AN$21,12,FALSE)</f>
        <v>0.7591</v>
      </c>
      <c r="D13">
        <f>VLOOKUP($A13,'Case-3'!$A$1:$AN$21,12,FALSE)</f>
        <v>0.70450000000000002</v>
      </c>
      <c r="E13">
        <f>VLOOKUP($A13,'Case-4'!$A$1:$AN$21,12,FALSE)</f>
        <v>0.53310000000000002</v>
      </c>
      <c r="F13">
        <f>VLOOKUP($A13,'Case-5'!$A$1:$AN$21,12,FALSE)</f>
        <v>0.495</v>
      </c>
      <c r="G13">
        <f>VLOOKUP($A13,'Case-6'!$A$1:$AN$21,12,FALSE)</f>
        <v>0.40060000000000001</v>
      </c>
    </row>
    <row r="14" spans="1:7">
      <c r="A14" s="2">
        <v>78</v>
      </c>
      <c r="B14">
        <f>VLOOKUP($A14,'Case-1'!$A$1:$AN$21,12,FALSE)</f>
        <v>0.80420000000000003</v>
      </c>
      <c r="C14">
        <f>VLOOKUP($A14,'Case-2'!$A$1:$AN$21,12,FALSE)</f>
        <v>0.75049999999999994</v>
      </c>
      <c r="D14">
        <f>VLOOKUP($A14,'Case-3'!$A$1:$AN$21,12,FALSE)</f>
        <v>0.6391</v>
      </c>
      <c r="E14">
        <f>VLOOKUP($A14,'Case-4'!$A$1:$AN$21,12,FALSE)</f>
        <v>0.48110000000000003</v>
      </c>
      <c r="F14">
        <f>VLOOKUP($A14,'Case-5'!$A$1:$AN$21,12,FALSE)</f>
        <v>0.41</v>
      </c>
      <c r="G14">
        <f>VLOOKUP($A14,'Case-6'!$A$1:$AN$21,12,FALSE)</f>
        <v>0.34749999999999998</v>
      </c>
    </row>
    <row r="15" spans="1:7">
      <c r="A15" s="3">
        <v>84</v>
      </c>
      <c r="B15">
        <f>VLOOKUP($A15,'Case-1'!$A$1:$AN$21,12,FALSE)</f>
        <v>0.71289999999999998</v>
      </c>
      <c r="C15">
        <f>VLOOKUP($A15,'Case-2'!$A$1:$AN$21,12,FALSE)</f>
        <v>0.65410000000000001</v>
      </c>
      <c r="D15">
        <f>VLOOKUP($A15,'Case-3'!$A$1:$AN$21,12,FALSE)</f>
        <v>0.54500000000000004</v>
      </c>
      <c r="E15">
        <f>VLOOKUP($A15,'Case-4'!$A$1:$AN$21,12,FALSE)</f>
        <v>0.4415</v>
      </c>
      <c r="F15">
        <f>VLOOKUP($A15,'Case-5'!$A$1:$AN$21,12,FALSE)</f>
        <v>0.38800000000000001</v>
      </c>
      <c r="G15">
        <f>VLOOKUP($A15,'Case-6'!$A$1:$AN$21,12,FALSE)</f>
        <v>0.23</v>
      </c>
    </row>
    <row r="16" spans="1:7">
      <c r="A16" s="2">
        <v>90</v>
      </c>
      <c r="B16">
        <f>VLOOKUP($A16,'Case-1'!$A$1:$AN$21,12,FALSE)</f>
        <v>0.64190000000000003</v>
      </c>
      <c r="C16">
        <f>VLOOKUP($A16,'Case-2'!$A$1:$AN$21,12,FALSE)</f>
        <v>0.71220000000000006</v>
      </c>
      <c r="D16">
        <f>VLOOKUP($A16,'Case-3'!$A$1:$AN$21,12,FALSE)</f>
        <v>0.54500000000000004</v>
      </c>
      <c r="E16">
        <f>VLOOKUP($A16,'Case-4'!$A$1:$AN$21,12,FALSE)</f>
        <v>0.3876</v>
      </c>
      <c r="F16">
        <f>VLOOKUP($A16,'Case-5'!$A$1:$AN$21,12,FALSE)</f>
        <v>0.318</v>
      </c>
      <c r="G16">
        <f>VLOOKUP($A16,'Case-6'!$A$1:$AN$21,12,FALSE)</f>
        <v>0.3271</v>
      </c>
    </row>
    <row r="17" spans="1:7">
      <c r="A17" s="3">
        <v>96</v>
      </c>
      <c r="B17">
        <f>VLOOKUP($A17,'Case-1'!$A$1:$AN$21,12,FALSE)</f>
        <v>0.63139999999999996</v>
      </c>
      <c r="C17">
        <f>VLOOKUP($A17,'Case-2'!$A$1:$AN$21,12,FALSE)</f>
        <v>0.59850000000000003</v>
      </c>
      <c r="D17">
        <f>VLOOKUP($A17,'Case-3'!$A$1:$AN$21,12,FALSE)</f>
        <v>0.47549999999999998</v>
      </c>
      <c r="E17">
        <f>VLOOKUP($A17,'Case-4'!$A$1:$AN$21,12,FALSE)</f>
        <v>0.3755</v>
      </c>
      <c r="F17">
        <f>VLOOKUP($A17,'Case-5'!$A$1:$AN$21,12,FALSE)</f>
        <v>0.2006</v>
      </c>
      <c r="G17">
        <f>VLOOKUP($A17,'Case-6'!$A$1:$AN$21,12,FALSE)</f>
        <v>0.2351</v>
      </c>
    </row>
    <row r="18" spans="1:7">
      <c r="A18" s="2">
        <v>102</v>
      </c>
      <c r="B18">
        <f>VLOOKUP($A18,'Case-1'!$A$1:$AN$21,12,FALSE)</f>
        <v>0.67249999999999999</v>
      </c>
      <c r="C18">
        <f>VLOOKUP($A18,'Case-2'!$A$1:$AN$21,12,FALSE)</f>
        <v>0.58430000000000004</v>
      </c>
      <c r="D18">
        <f>VLOOKUP($A18,'Case-3'!$A$1:$AN$21,12,FALSE)</f>
        <v>0.42780000000000001</v>
      </c>
      <c r="E18">
        <f>VLOOKUP($A18,'Case-4'!$A$1:$AN$21,12,FALSE)</f>
        <v>0.34699999999999998</v>
      </c>
      <c r="F18">
        <f>VLOOKUP($A18,'Case-5'!$A$1:$AN$21,12,FALSE)</f>
        <v>0.26740000000000003</v>
      </c>
      <c r="G18">
        <f>VLOOKUP($A18,'Case-6'!$A$1:$AN$21,12,FALSE)</f>
        <v>9.6100000000000005E-2</v>
      </c>
    </row>
    <row r="19" spans="1:7">
      <c r="A19" s="3">
        <v>108</v>
      </c>
      <c r="B19">
        <f>VLOOKUP($A19,'Case-1'!$A$1:$AN$21,12,FALSE)</f>
        <v>0.63549999999999995</v>
      </c>
      <c r="C19">
        <f>VLOOKUP($A19,'Case-2'!$A$1:$AN$21,12,FALSE)</f>
        <v>0.4864</v>
      </c>
      <c r="D19">
        <f>VLOOKUP($A19,'Case-3'!$A$1:$AN$21,12,FALSE)</f>
        <v>0.50590000000000002</v>
      </c>
      <c r="E19">
        <f>VLOOKUP($A19,'Case-4'!$A$1:$AN$21,12,FALSE)</f>
        <v>0.37840000000000001</v>
      </c>
      <c r="F19">
        <f>VLOOKUP($A19,'Case-5'!$A$1:$AN$21,12,FALSE)</f>
        <v>0.25469999999999998</v>
      </c>
      <c r="G19">
        <f>VLOOKUP($A19,'Case-6'!$A$1:$AN$21,12,FALSE)</f>
        <v>0.14000000000000001</v>
      </c>
    </row>
    <row r="20" spans="1:7">
      <c r="A20" s="2">
        <v>114</v>
      </c>
      <c r="B20">
        <f>VLOOKUP($A20,'Case-1'!$A$1:$AN$21,12,FALSE)</f>
        <v>0.50849999999999995</v>
      </c>
      <c r="C20">
        <f>VLOOKUP($A20,'Case-2'!$A$1:$AN$21,12,FALSE)</f>
        <v>0.51910000000000001</v>
      </c>
      <c r="D20">
        <f>VLOOKUP($A20,'Case-3'!$A$1:$AN$21,12,FALSE)</f>
        <v>0.4012</v>
      </c>
      <c r="E20">
        <f>VLOOKUP($A20,'Case-4'!$A$1:$AN$21,12,FALSE)</f>
        <v>0.4</v>
      </c>
      <c r="F20">
        <f>VLOOKUP($A20,'Case-5'!$A$1:$AN$21,12,FALSE)</f>
        <v>0.21199999999999999</v>
      </c>
      <c r="G20">
        <f>VLOOKUP($A20,'Case-6'!$A$1:$AN$21,12,FALSE)</f>
        <v>0.09</v>
      </c>
    </row>
    <row r="21" spans="1:7">
      <c r="A21" s="3">
        <v>120</v>
      </c>
      <c r="B21">
        <f>VLOOKUP($A21,'Case-1'!$A$1:$AN$21,12,FALSE)</f>
        <v>0.52449999999999997</v>
      </c>
      <c r="C21">
        <f>VLOOKUP($A21,'Case-2'!$A$1:$AN$21,12,FALSE)</f>
        <v>0.4798</v>
      </c>
      <c r="D21">
        <f>VLOOKUP($A21,'Case-3'!$A$1:$AN$21,12,FALSE)</f>
        <v>0.3579</v>
      </c>
      <c r="E21">
        <f>VLOOKUP($A21,'Case-4'!$A$1:$AN$21,12,FALSE)</f>
        <v>0.27279999999999999</v>
      </c>
      <c r="F21">
        <f>VLOOKUP($A21,'Case-5'!$A$1:$AN$21,12,FALSE)</f>
        <v>0.17549999999999999</v>
      </c>
      <c r="G21">
        <f>VLOOKUP($A21,'Case-6'!$A$1:$AN$21,12,FALSE)</f>
        <v>0.12690000000000001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76E9-A93B-49D2-858A-276E0D7878D9}">
  <dimension ref="A1:G21"/>
  <sheetViews>
    <sheetView workbookViewId="0">
      <selection activeCell="B1" sqref="B1:G1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VLOOKUP($A2,'Case-1'!$A$1:$AN$21,13,FALSE)</f>
        <v>1</v>
      </c>
      <c r="C2">
        <f>VLOOKUP($A2,'Case-2'!$A$1:$AN$21,13,FALSE)</f>
        <v>1</v>
      </c>
      <c r="D2">
        <f>VLOOKUP($A2,'Case-3'!$A$1:$AN$21,13,FALSE)</f>
        <v>1</v>
      </c>
      <c r="E2">
        <f>VLOOKUP($A2,'Case-4'!$A$1:$AN$21,13,FALSE)</f>
        <v>1</v>
      </c>
      <c r="F2">
        <f>VLOOKUP($A2,'Case-5'!$A$1:$AN$21,13,FALSE)</f>
        <v>1</v>
      </c>
      <c r="G2">
        <f>VLOOKUP($A2,'Case-6'!$A$1:$AN$21,13,FALSE)</f>
        <v>1</v>
      </c>
    </row>
    <row r="3" spans="1:7">
      <c r="A3" s="3">
        <v>12</v>
      </c>
      <c r="B3">
        <f>VLOOKUP($A3,'Case-1'!$A$1:$AN$21,13,FALSE)</f>
        <v>1</v>
      </c>
      <c r="C3">
        <f>VLOOKUP($A3,'Case-2'!$A$1:$AN$21,13,FALSE)</f>
        <v>1</v>
      </c>
      <c r="D3">
        <f>VLOOKUP($A3,'Case-3'!$A$1:$AN$21,13,FALSE)</f>
        <v>1</v>
      </c>
      <c r="E3">
        <f>VLOOKUP($A3,'Case-4'!$A$1:$AN$21,13,FALSE)</f>
        <v>1</v>
      </c>
      <c r="F3">
        <f>VLOOKUP($A3,'Case-5'!$A$1:$AN$21,13,FALSE)</f>
        <v>1</v>
      </c>
      <c r="G3">
        <f>VLOOKUP($A3,'Case-6'!$A$1:$AN$21,13,FALSE)</f>
        <v>1</v>
      </c>
    </row>
    <row r="4" spans="1:7">
      <c r="A4" s="2">
        <v>18</v>
      </c>
      <c r="B4">
        <f>VLOOKUP($A4,'Case-1'!$A$1:$AN$21,13,FALSE)</f>
        <v>1</v>
      </c>
      <c r="C4">
        <f>VLOOKUP($A4,'Case-2'!$A$1:$AN$21,13,FALSE)</f>
        <v>1</v>
      </c>
      <c r="D4">
        <f>VLOOKUP($A4,'Case-3'!$A$1:$AN$21,13,FALSE)</f>
        <v>1</v>
      </c>
      <c r="E4">
        <f>VLOOKUP($A4,'Case-4'!$A$1:$AN$21,13,FALSE)</f>
        <v>1</v>
      </c>
      <c r="F4">
        <f>VLOOKUP($A4,'Case-5'!$A$1:$AN$21,13,FALSE)</f>
        <v>1</v>
      </c>
      <c r="G4">
        <f>VLOOKUP($A4,'Case-6'!$A$1:$AN$21,13,FALSE)</f>
        <v>1</v>
      </c>
    </row>
    <row r="5" spans="1:7">
      <c r="A5" s="3">
        <v>24</v>
      </c>
      <c r="B5">
        <f>VLOOKUP($A5,'Case-1'!$A$1:$AN$21,13,FALSE)</f>
        <v>1</v>
      </c>
      <c r="C5">
        <f>VLOOKUP($A5,'Case-2'!$A$1:$AN$21,13,FALSE)</f>
        <v>1</v>
      </c>
      <c r="D5">
        <f>VLOOKUP($A5,'Case-3'!$A$1:$AN$21,13,FALSE)</f>
        <v>1</v>
      </c>
      <c r="E5">
        <f>VLOOKUP($A5,'Case-4'!$A$1:$AN$21,13,FALSE)</f>
        <v>1</v>
      </c>
      <c r="F5">
        <f>VLOOKUP($A5,'Case-5'!$A$1:$AN$21,13,FALSE)</f>
        <v>1</v>
      </c>
      <c r="G5">
        <f>VLOOKUP($A5,'Case-6'!$A$1:$AN$21,13,FALSE)</f>
        <v>1</v>
      </c>
    </row>
    <row r="6" spans="1:7">
      <c r="A6" s="2">
        <v>30</v>
      </c>
      <c r="B6">
        <f>VLOOKUP($A6,'Case-1'!$A$1:$AN$21,13,FALSE)</f>
        <v>1</v>
      </c>
      <c r="C6">
        <f>VLOOKUP($A6,'Case-2'!$A$1:$AN$21,13,FALSE)</f>
        <v>1</v>
      </c>
      <c r="D6">
        <f>VLOOKUP($A6,'Case-3'!$A$1:$AN$21,13,FALSE)</f>
        <v>1</v>
      </c>
      <c r="E6">
        <f>VLOOKUP($A6,'Case-4'!$A$1:$AN$21,13,FALSE)</f>
        <v>1</v>
      </c>
      <c r="F6">
        <f>VLOOKUP($A6,'Case-5'!$A$1:$AN$21,13,FALSE)</f>
        <v>1</v>
      </c>
      <c r="G6">
        <f>VLOOKUP($A6,'Case-6'!$A$1:$AN$21,13,FALSE)</f>
        <v>1</v>
      </c>
    </row>
    <row r="7" spans="1:7">
      <c r="A7" s="3">
        <v>36</v>
      </c>
      <c r="B7">
        <f>VLOOKUP($A7,'Case-1'!$A$1:$AN$21,13,FALSE)</f>
        <v>0.99903333333333344</v>
      </c>
      <c r="C7">
        <f>VLOOKUP($A7,'Case-2'!$A$1:$AN$21,13,FALSE)</f>
        <v>0.99685487179487176</v>
      </c>
      <c r="D7">
        <f>VLOOKUP($A7,'Case-3'!$A$1:$AN$21,13,FALSE)</f>
        <v>0.99933333333333341</v>
      </c>
      <c r="E7">
        <f>VLOOKUP($A7,'Case-4'!$A$1:$AN$21,13,FALSE)</f>
        <v>1</v>
      </c>
      <c r="F7">
        <f>VLOOKUP($A7,'Case-5'!$A$1:$AN$21,13,FALSE)</f>
        <v>0.99846153846153851</v>
      </c>
      <c r="G7">
        <f>VLOOKUP($A7,'Case-6'!$A$1:$AN$21,13,FALSE)</f>
        <v>1</v>
      </c>
    </row>
    <row r="8" spans="1:7">
      <c r="A8" s="2">
        <v>42</v>
      </c>
      <c r="B8">
        <f>VLOOKUP($A8,'Case-1'!$A$1:$AN$21,13,FALSE)</f>
        <v>0.99794828738512953</v>
      </c>
      <c r="C8">
        <f>VLOOKUP($A8,'Case-2'!$A$1:$AN$21,13,FALSE)</f>
        <v>0.99970000000000003</v>
      </c>
      <c r="D8">
        <f>VLOOKUP($A8,'Case-3'!$A$1:$AN$21,13,FALSE)</f>
        <v>0.99969285714285727</v>
      </c>
      <c r="E8">
        <f>VLOOKUP($A8,'Case-4'!$A$1:$AN$21,13,FALSE)</f>
        <v>0.99720142857142857</v>
      </c>
      <c r="F8">
        <f>VLOOKUP($A8,'Case-5'!$A$1:$AN$21,13,FALSE)</f>
        <v>0.99464428571428576</v>
      </c>
      <c r="G8">
        <f>VLOOKUP($A8,'Case-6'!$A$1:$AN$21,13,FALSE)</f>
        <v>0.99371428571428566</v>
      </c>
    </row>
    <row r="9" spans="1:7">
      <c r="A9" s="3">
        <v>48</v>
      </c>
      <c r="B9">
        <f>VLOOKUP($A9,'Case-1'!$A$1:$AN$21,13,FALSE)</f>
        <v>0.99636908179539752</v>
      </c>
      <c r="C9">
        <f>VLOOKUP($A9,'Case-2'!$A$1:$AN$21,13,FALSE)</f>
        <v>0.99474038969706868</v>
      </c>
      <c r="D9">
        <f>VLOOKUP($A9,'Case-3'!$A$1:$AN$21,13,FALSE)</f>
        <v>0.99701176470588238</v>
      </c>
      <c r="E9">
        <f>VLOOKUP($A9,'Case-4'!$A$1:$AN$21,13,FALSE)</f>
        <v>0.99596936274509784</v>
      </c>
      <c r="F9">
        <f>VLOOKUP($A9,'Case-5'!$A$1:$AN$21,13,FALSE)</f>
        <v>0.99216911764705873</v>
      </c>
      <c r="G9">
        <f>VLOOKUP($A9,'Case-6'!$A$1:$AN$21,13,FALSE)</f>
        <v>0.98416102941176464</v>
      </c>
    </row>
    <row r="10" spans="1:7">
      <c r="A10" s="2">
        <v>54</v>
      </c>
      <c r="B10">
        <f>VLOOKUP($A10,'Case-1'!$A$1:$AN$21,13,FALSE)</f>
        <v>0.99760135349163481</v>
      </c>
      <c r="C10">
        <f>VLOOKUP($A10,'Case-2'!$A$1:$AN$21,13,FALSE)</f>
        <v>0.99742342541135443</v>
      </c>
      <c r="D10">
        <f>VLOOKUP($A10,'Case-3'!$A$1:$AN$21,13,FALSE)</f>
        <v>0.98636681905686496</v>
      </c>
      <c r="E10">
        <f>VLOOKUP($A10,'Case-4'!$A$1:$AN$21,13,FALSE)</f>
        <v>0.98674354066985648</v>
      </c>
      <c r="F10">
        <f>VLOOKUP($A10,'Case-5'!$A$1:$AN$21,13,FALSE)</f>
        <v>0.98562807017543852</v>
      </c>
      <c r="G10">
        <f>VLOOKUP($A10,'Case-6'!$A$1:$AN$21,13,FALSE)</f>
        <v>0.97331140350877199</v>
      </c>
    </row>
    <row r="11" spans="1:7">
      <c r="A11" s="3">
        <v>60</v>
      </c>
      <c r="B11">
        <f>VLOOKUP($A11,'Case-1'!$A$1:$AN$21,13,FALSE)</f>
        <v>0.99448093510997859</v>
      </c>
      <c r="C11">
        <f>VLOOKUP($A11,'Case-2'!$A$1:$AN$21,13,FALSE)</f>
        <v>0.99345488757619205</v>
      </c>
      <c r="D11">
        <f>VLOOKUP($A11,'Case-3'!$A$1:$AN$21,13,FALSE)</f>
        <v>0.98960403199470259</v>
      </c>
      <c r="E11">
        <f>VLOOKUP($A11,'Case-4'!$A$1:$AN$21,13,FALSE)</f>
        <v>0.99168949607219625</v>
      </c>
      <c r="F11">
        <f>VLOOKUP($A11,'Case-5'!$A$1:$AN$21,13,FALSE)</f>
        <v>0.97777533378901804</v>
      </c>
      <c r="G11">
        <f>VLOOKUP($A11,'Case-6'!$A$1:$AN$21,13,FALSE)</f>
        <v>0.9669359523809522</v>
      </c>
    </row>
    <row r="12" spans="1:7">
      <c r="A12" s="2">
        <v>66</v>
      </c>
      <c r="B12">
        <f>VLOOKUP($A12,'Case-1'!$A$1:$AN$21,13,FALSE)</f>
        <v>0.98935797295186789</v>
      </c>
      <c r="C12">
        <f>VLOOKUP($A12,'Case-2'!$A$1:$AN$21,13,FALSE)</f>
        <v>0.98949807379232224</v>
      </c>
      <c r="D12">
        <f>VLOOKUP($A12,'Case-3'!$A$1:$AN$21,13,FALSE)</f>
        <v>0.98060391463373109</v>
      </c>
      <c r="E12">
        <f>VLOOKUP($A12,'Case-4'!$A$1:$AN$21,13,FALSE)</f>
        <v>0.97215077393620863</v>
      </c>
      <c r="F12">
        <f>VLOOKUP($A12,'Case-5'!$A$1:$AN$21,13,FALSE)</f>
        <v>0.96971765245623942</v>
      </c>
      <c r="G12">
        <f>VLOOKUP($A12,'Case-6'!$A$1:$AN$21,13,FALSE)</f>
        <v>0.9592927630340673</v>
      </c>
    </row>
    <row r="13" spans="1:7">
      <c r="A13" s="3">
        <v>72</v>
      </c>
      <c r="B13">
        <f>VLOOKUP($A13,'Case-1'!$A$1:$AN$21,13,FALSE)</f>
        <v>0.99106459906407796</v>
      </c>
      <c r="C13">
        <f>VLOOKUP($A13,'Case-2'!$A$1:$AN$21,13,FALSE)</f>
        <v>0.98975414086055558</v>
      </c>
      <c r="D13">
        <f>VLOOKUP($A13,'Case-3'!$A$1:$AN$21,13,FALSE)</f>
        <v>0.98594820639832725</v>
      </c>
      <c r="E13">
        <f>VLOOKUP($A13,'Case-4'!$A$1:$AN$21,13,FALSE)</f>
        <v>0.97314100229888389</v>
      </c>
      <c r="F13">
        <f>VLOOKUP($A13,'Case-5'!$A$1:$AN$21,13,FALSE)</f>
        <v>0.96785186399671186</v>
      </c>
      <c r="G13">
        <f>VLOOKUP($A13,'Case-6'!$A$1:$AN$21,13,FALSE)</f>
        <v>0.95688653623188402</v>
      </c>
    </row>
    <row r="14" spans="1:7">
      <c r="A14" s="2">
        <v>78</v>
      </c>
      <c r="B14">
        <f>VLOOKUP($A14,'Case-1'!$A$1:$AN$21,13,FALSE)</f>
        <v>0.9925797206086725</v>
      </c>
      <c r="C14">
        <f>VLOOKUP($A14,'Case-2'!$A$1:$AN$21,13,FALSE)</f>
        <v>0.98963171448061216</v>
      </c>
      <c r="D14">
        <f>VLOOKUP($A14,'Case-3'!$A$1:$AN$21,13,FALSE)</f>
        <v>0.98341358388328193</v>
      </c>
      <c r="E14">
        <f>VLOOKUP($A14,'Case-4'!$A$1:$AN$21,13,FALSE)</f>
        <v>0.96924719989028685</v>
      </c>
      <c r="F14">
        <f>VLOOKUP($A14,'Case-5'!$A$1:$AN$21,13,FALSE)</f>
        <v>0.96540449068811141</v>
      </c>
      <c r="G14">
        <f>VLOOKUP($A14,'Case-6'!$A$1:$AN$21,13,FALSE)</f>
        <v>0.9540188148148151</v>
      </c>
    </row>
    <row r="15" spans="1:7">
      <c r="A15" s="3">
        <v>84</v>
      </c>
      <c r="B15">
        <f>VLOOKUP($A15,'Case-1'!$A$1:$AN$21,13,FALSE)</f>
        <v>0.98887884986890384</v>
      </c>
      <c r="C15">
        <f>VLOOKUP($A15,'Case-2'!$A$1:$AN$21,13,FALSE)</f>
        <v>0.98496080254591467</v>
      </c>
      <c r="D15">
        <f>VLOOKUP($A15,'Case-3'!$A$1:$AN$21,13,FALSE)</f>
        <v>0.97802497312856862</v>
      </c>
      <c r="E15">
        <f>VLOOKUP($A15,'Case-4'!$A$1:$AN$21,13,FALSE)</f>
        <v>0.97126846345848283</v>
      </c>
      <c r="F15">
        <f>VLOOKUP($A15,'Case-5'!$A$1:$AN$21,13,FALSE)</f>
        <v>0.96143523425499222</v>
      </c>
      <c r="G15">
        <f>VLOOKUP($A15,'Case-6'!$A$1:$AN$21,13,FALSE)</f>
        <v>0.94814020707900015</v>
      </c>
    </row>
    <row r="16" spans="1:7">
      <c r="A16" s="2">
        <v>90</v>
      </c>
      <c r="B16">
        <f>VLOOKUP($A16,'Case-1'!$A$1:$AN$21,13,FALSE)</f>
        <v>0.98639308015837801</v>
      </c>
      <c r="C16">
        <f>VLOOKUP($A16,'Case-2'!$A$1:$AN$21,13,FALSE)</f>
        <v>0.98981041483261889</v>
      </c>
      <c r="D16">
        <f>VLOOKUP($A16,'Case-3'!$A$1:$AN$21,13,FALSE)</f>
        <v>0.97837558918463619</v>
      </c>
      <c r="E16">
        <f>VLOOKUP($A16,'Case-4'!$A$1:$AN$21,13,FALSE)</f>
        <v>0.97237090342525412</v>
      </c>
      <c r="F16">
        <f>VLOOKUP($A16,'Case-5'!$A$1:$AN$21,13,FALSE)</f>
        <v>0.96229214442213329</v>
      </c>
      <c r="G16">
        <f>VLOOKUP($A16,'Case-6'!$A$1:$AN$21,13,FALSE)</f>
        <v>0.96188409436410838</v>
      </c>
    </row>
    <row r="17" spans="1:7">
      <c r="A17" s="3">
        <v>96</v>
      </c>
      <c r="B17">
        <f>VLOOKUP($A17,'Case-1'!$A$1:$AN$21,13,FALSE)</f>
        <v>0.9868801931088208</v>
      </c>
      <c r="C17">
        <f>VLOOKUP($A17,'Case-2'!$A$1:$AN$21,13,FALSE)</f>
        <v>0.98467255479521554</v>
      </c>
      <c r="D17">
        <f>VLOOKUP($A17,'Case-3'!$A$1:$AN$21,13,FALSE)</f>
        <v>0.97600232759922112</v>
      </c>
      <c r="E17">
        <f>VLOOKUP($A17,'Case-4'!$A$1:$AN$21,13,FALSE)</f>
        <v>0.9685321845664826</v>
      </c>
      <c r="F17">
        <f>VLOOKUP($A17,'Case-5'!$A$1:$AN$21,13,FALSE)</f>
        <v>0.95444514995564911</v>
      </c>
      <c r="G17">
        <f>VLOOKUP($A17,'Case-6'!$A$1:$AN$21,13,FALSE)</f>
        <v>0.95042177724828947</v>
      </c>
    </row>
    <row r="18" spans="1:7">
      <c r="A18" s="2">
        <v>102</v>
      </c>
      <c r="B18">
        <f>VLOOKUP($A18,'Case-1'!$A$1:$AN$21,13,FALSE)</f>
        <v>0.989472861713386</v>
      </c>
      <c r="C18">
        <f>VLOOKUP($A18,'Case-2'!$A$1:$AN$21,13,FALSE)</f>
        <v>0.98491169592256411</v>
      </c>
      <c r="D18">
        <f>VLOOKUP($A18,'Case-3'!$A$1:$AN$21,13,FALSE)</f>
        <v>0.97479520722007729</v>
      </c>
      <c r="E18">
        <f>VLOOKUP($A18,'Case-4'!$A$1:$AN$21,13,FALSE)</f>
        <v>0.9676230757360238</v>
      </c>
      <c r="F18">
        <f>VLOOKUP($A18,'Case-5'!$A$1:$AN$21,13,FALSE)</f>
        <v>0.96211786791230935</v>
      </c>
      <c r="G18">
        <f>VLOOKUP($A18,'Case-6'!$A$1:$AN$21,13,FALSE)</f>
        <v>0.94182690730837781</v>
      </c>
    </row>
    <row r="19" spans="1:7">
      <c r="A19" s="3">
        <v>108</v>
      </c>
      <c r="B19">
        <f>VLOOKUP($A19,'Case-1'!$A$1:$AN$21,13,FALSE)</f>
        <v>0.98750782951134586</v>
      </c>
      <c r="C19">
        <f>VLOOKUP($A19,'Case-2'!$A$1:$AN$21,13,FALSE)</f>
        <v>0.9811863764659533</v>
      </c>
      <c r="D19">
        <f>VLOOKUP($A19,'Case-3'!$A$1:$AN$21,13,FALSE)</f>
        <v>0.97900124176624637</v>
      </c>
      <c r="E19">
        <f>VLOOKUP($A19,'Case-4'!$A$1:$AN$21,13,FALSE)</f>
        <v>0.97057853331969213</v>
      </c>
      <c r="F19">
        <f>VLOOKUP($A19,'Case-5'!$A$1:$AN$21,13,FALSE)</f>
        <v>0.9676505523895772</v>
      </c>
      <c r="G19">
        <f>VLOOKUP($A19,'Case-6'!$A$1:$AN$21,13,FALSE)</f>
        <v>0.9527509150127571</v>
      </c>
    </row>
    <row r="20" spans="1:7">
      <c r="A20" s="2">
        <v>114</v>
      </c>
      <c r="B20">
        <f>VLOOKUP($A20,'Case-1'!$A$1:$AN$21,13,FALSE)</f>
        <v>0.984459427423239</v>
      </c>
      <c r="C20">
        <f>VLOOKUP($A20,'Case-2'!$A$1:$AN$21,13,FALSE)</f>
        <v>0.98527250239426634</v>
      </c>
      <c r="D20">
        <f>VLOOKUP($A20,'Case-3'!$A$1:$AN$21,13,FALSE)</f>
        <v>0.97666441362297662</v>
      </c>
      <c r="E20">
        <f>VLOOKUP($A20,'Case-4'!$A$1:$AN$21,13,FALSE)</f>
        <v>0.9705731451479922</v>
      </c>
      <c r="F20">
        <f>VLOOKUP($A20,'Case-5'!$A$1:$AN$21,13,FALSE)</f>
        <v>0.9549983042158654</v>
      </c>
      <c r="G20">
        <f>VLOOKUP($A20,'Case-6'!$A$1:$AN$21,13,FALSE)</f>
        <v>0.94538303120934708</v>
      </c>
    </row>
    <row r="21" spans="1:7">
      <c r="A21" s="3">
        <v>120</v>
      </c>
      <c r="B21">
        <f>VLOOKUP($A21,'Case-1'!$A$1:$AN$21,13,FALSE)</f>
        <v>0.98452039110574552</v>
      </c>
      <c r="C21">
        <f>VLOOKUP($A21,'Case-2'!$A$1:$AN$21,13,FALSE)</f>
        <v>0.98255210244731772</v>
      </c>
      <c r="D21">
        <f>VLOOKUP($A21,'Case-3'!$A$1:$AN$21,13,FALSE)</f>
        <v>0.9740458858685257</v>
      </c>
      <c r="E21">
        <f>VLOOKUP($A21,'Case-4'!$A$1:$AN$21,13,FALSE)</f>
        <v>0.96945323995992261</v>
      </c>
      <c r="F21">
        <f>VLOOKUP($A21,'Case-5'!$A$1:$AN$21,13,FALSE)</f>
        <v>0.9541628030532866</v>
      </c>
      <c r="G21">
        <f>VLOOKUP($A21,'Case-6'!$A$1:$AN$21,13,FALSE)</f>
        <v>0.9490468482533726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95E4-F683-4205-84E2-C8B5323BFC58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VLOOKUP($A2,'Case-1'!$A$1:$AN$21,14,FALSE)</f>
        <v>1</v>
      </c>
      <c r="C2">
        <f>VLOOKUP($A2,'Case-2'!$A$1:$AN$21,14,FALSE)</f>
        <v>1</v>
      </c>
      <c r="D2">
        <f>VLOOKUP($A2,'Case-3'!$A$1:$AN$21,14,FALSE)</f>
        <v>0.93228571428571427</v>
      </c>
      <c r="E2">
        <f>VLOOKUP($A2,'Case-4'!$A$1:$AN$21,14,FALSE)</f>
        <v>0.84547619047619049</v>
      </c>
      <c r="F2">
        <f>VLOOKUP($A2,'Case-5'!$A$1:$AN$21,14,FALSE)</f>
        <v>0.94123809523809521</v>
      </c>
      <c r="G2">
        <f>VLOOKUP($A2,'Case-6'!$A$1:$AN$21,14,FALSE)</f>
        <v>0.80000000000000016</v>
      </c>
    </row>
    <row r="3" spans="1:7">
      <c r="A3" s="3">
        <v>12</v>
      </c>
      <c r="B3">
        <f>VLOOKUP($A3,'Case-1'!$A$1:$AN$21,14,FALSE)</f>
        <v>1</v>
      </c>
      <c r="C3">
        <f>VLOOKUP($A3,'Case-2'!$A$1:$AN$21,14,FALSE)</f>
        <v>0.98255555555555563</v>
      </c>
      <c r="D3">
        <f>VLOOKUP($A3,'Case-3'!$A$1:$AN$21,14,FALSE)</f>
        <v>0.88433080808080811</v>
      </c>
      <c r="E3">
        <f>VLOOKUP($A3,'Case-4'!$A$1:$AN$21,14,FALSE)</f>
        <v>0.84435897435897445</v>
      </c>
      <c r="F3">
        <f>VLOOKUP($A3,'Case-5'!$A$1:$AN$21,14,FALSE)</f>
        <v>0.81713235294117648</v>
      </c>
      <c r="G3">
        <f>VLOOKUP($A3,'Case-6'!$A$1:$AN$21,14,FALSE)</f>
        <v>0.80000000000000016</v>
      </c>
    </row>
    <row r="4" spans="1:7">
      <c r="A4" s="2">
        <v>18</v>
      </c>
      <c r="B4">
        <f>VLOOKUP($A4,'Case-1'!$A$1:$AN$21,14,FALSE)</f>
        <v>1</v>
      </c>
      <c r="C4">
        <f>VLOOKUP($A4,'Case-2'!$A$1:$AN$21,14,FALSE)</f>
        <v>0.97007664557664552</v>
      </c>
      <c r="D4">
        <f>VLOOKUP($A4,'Case-3'!$A$1:$AN$21,14,FALSE)</f>
        <v>0.87206526969762288</v>
      </c>
      <c r="E4">
        <f>VLOOKUP($A4,'Case-4'!$A$1:$AN$21,14,FALSE)</f>
        <v>0.84241737286359708</v>
      </c>
      <c r="F4">
        <f>VLOOKUP($A4,'Case-5'!$A$1:$AN$21,14,FALSE)</f>
        <v>0.82401185770750984</v>
      </c>
      <c r="G4">
        <f>VLOOKUP($A4,'Case-6'!$A$1:$AN$21,14,FALSE)</f>
        <v>0.80875498575498583</v>
      </c>
    </row>
    <row r="5" spans="1:7">
      <c r="A5" s="3">
        <v>24</v>
      </c>
      <c r="B5">
        <f>VLOOKUP($A5,'Case-1'!$A$1:$AN$21,14,FALSE)</f>
        <v>1</v>
      </c>
      <c r="C5">
        <f>VLOOKUP($A5,'Case-2'!$A$1:$AN$21,14,FALSE)</f>
        <v>0.96334406533439032</v>
      </c>
      <c r="D5">
        <f>VLOOKUP($A5,'Case-3'!$A$1:$AN$21,14,FALSE)</f>
        <v>0.8770380156733234</v>
      </c>
      <c r="E5">
        <f>VLOOKUP($A5,'Case-4'!$A$1:$AN$21,14,FALSE)</f>
        <v>0.8406799521259869</v>
      </c>
      <c r="F5">
        <f>VLOOKUP($A5,'Case-5'!$A$1:$AN$21,14,FALSE)</f>
        <v>0.82349320064763687</v>
      </c>
      <c r="G5">
        <f>VLOOKUP($A5,'Case-6'!$A$1:$AN$21,14,FALSE)</f>
        <v>0.80502402402402407</v>
      </c>
    </row>
    <row r="6" spans="1:7">
      <c r="A6" s="2">
        <v>30</v>
      </c>
      <c r="B6">
        <f>VLOOKUP($A6,'Case-1'!$A$1:$AN$21,14,FALSE)</f>
        <v>1</v>
      </c>
      <c r="C6">
        <f>VLOOKUP($A6,'Case-2'!$A$1:$AN$21,14,FALSE)</f>
        <v>0.96388761564783909</v>
      </c>
      <c r="D6">
        <f>VLOOKUP($A6,'Case-3'!$A$1:$AN$21,14,FALSE)</f>
        <v>0.878469426035697</v>
      </c>
      <c r="E6">
        <f>VLOOKUP($A6,'Case-4'!$A$1:$AN$21,14,FALSE)</f>
        <v>0.84366232933588725</v>
      </c>
      <c r="F6">
        <f>VLOOKUP($A6,'Case-5'!$A$1:$AN$21,14,FALSE)</f>
        <v>0.82426772432203965</v>
      </c>
      <c r="G6">
        <f>VLOOKUP($A6,'Case-6'!$A$1:$AN$21,14,FALSE)</f>
        <v>0.80938287758323058</v>
      </c>
    </row>
    <row r="7" spans="1:7">
      <c r="A7" s="3">
        <v>36</v>
      </c>
      <c r="B7">
        <f>VLOOKUP($A7,'Case-1'!$A$1:$AN$21,14,FALSE)</f>
        <v>0.99917368421052632</v>
      </c>
      <c r="C7">
        <f>VLOOKUP($A7,'Case-2'!$A$1:$AN$21,14,FALSE)</f>
        <v>0.96108994295016659</v>
      </c>
      <c r="D7">
        <f>VLOOKUP($A7,'Case-3'!$A$1:$AN$21,14,FALSE)</f>
        <v>0.8727703999967209</v>
      </c>
      <c r="E7">
        <f>VLOOKUP($A7,'Case-4'!$A$1:$AN$21,14,FALSE)</f>
        <v>0.84375107143724704</v>
      </c>
      <c r="F7">
        <f>VLOOKUP($A7,'Case-5'!$A$1:$AN$21,14,FALSE)</f>
        <v>0.8207965854240471</v>
      </c>
      <c r="G7">
        <f>VLOOKUP($A7,'Case-6'!$A$1:$AN$21,14,FALSE)</f>
        <v>0.80765503855995413</v>
      </c>
    </row>
    <row r="8" spans="1:7">
      <c r="A8" s="2">
        <v>42</v>
      </c>
      <c r="B8">
        <f>VLOOKUP($A8,'Case-1'!$A$1:$AN$21,14,FALSE)</f>
        <v>0.99789981069273981</v>
      </c>
      <c r="C8">
        <f>VLOOKUP($A8,'Case-2'!$A$1:$AN$21,14,FALSE)</f>
        <v>0.95539402415117236</v>
      </c>
      <c r="D8">
        <f>VLOOKUP($A8,'Case-3'!$A$1:$AN$21,14,FALSE)</f>
        <v>0.87760934604844332</v>
      </c>
      <c r="E8">
        <f>VLOOKUP($A8,'Case-4'!$A$1:$AN$21,14,FALSE)</f>
        <v>0.83972319404933582</v>
      </c>
      <c r="F8">
        <f>VLOOKUP($A8,'Case-5'!$A$1:$AN$21,14,FALSE)</f>
        <v>0.81980514299043683</v>
      </c>
      <c r="G8">
        <f>VLOOKUP($A8,'Case-6'!$A$1:$AN$21,14,FALSE)</f>
        <v>0.80516092199507283</v>
      </c>
    </row>
    <row r="9" spans="1:7">
      <c r="A9" s="3">
        <v>48</v>
      </c>
      <c r="B9">
        <f>VLOOKUP($A9,'Case-1'!$A$1:$AN$21,14,FALSE)</f>
        <v>0.99583661071562124</v>
      </c>
      <c r="C9">
        <f>VLOOKUP($A9,'Case-2'!$A$1:$AN$21,14,FALSE)</f>
        <v>0.95601216079019691</v>
      </c>
      <c r="D9">
        <f>VLOOKUP($A9,'Case-3'!$A$1:$AN$21,14,FALSE)</f>
        <v>0.87655208836116649</v>
      </c>
      <c r="E9">
        <f>VLOOKUP($A9,'Case-4'!$A$1:$AN$21,14,FALSE)</f>
        <v>0.8412124020385825</v>
      </c>
      <c r="F9">
        <f>VLOOKUP($A9,'Case-5'!$A$1:$AN$21,14,FALSE)</f>
        <v>0.81911420503988919</v>
      </c>
      <c r="G9">
        <f>VLOOKUP($A9,'Case-6'!$A$1:$AN$21,14,FALSE)</f>
        <v>0.80552249074032933</v>
      </c>
    </row>
    <row r="10" spans="1:7">
      <c r="A10" s="2">
        <v>54</v>
      </c>
      <c r="B10">
        <f>VLOOKUP($A10,'Case-1'!$A$1:$AN$21,14,FALSE)</f>
        <v>0.99762185671085502</v>
      </c>
      <c r="C10">
        <f>VLOOKUP($A10,'Case-2'!$A$1:$AN$21,14,FALSE)</f>
        <v>0.95803303742697132</v>
      </c>
      <c r="D10">
        <f>VLOOKUP($A10,'Case-3'!$A$1:$AN$21,14,FALSE)</f>
        <v>0.86950359049246218</v>
      </c>
      <c r="E10">
        <f>VLOOKUP($A10,'Case-4'!$A$1:$AN$21,14,FALSE)</f>
        <v>0.83668474173742757</v>
      </c>
      <c r="F10">
        <f>VLOOKUP($A10,'Case-5'!$A$1:$AN$21,14,FALSE)</f>
        <v>0.81835818040951003</v>
      </c>
      <c r="G10">
        <f>VLOOKUP($A10,'Case-6'!$A$1:$AN$21,14,FALSE)</f>
        <v>0.80131950298075905</v>
      </c>
    </row>
    <row r="11" spans="1:7">
      <c r="A11" s="3">
        <v>60</v>
      </c>
      <c r="B11">
        <f>VLOOKUP($A11,'Case-1'!$A$1:$AN$21,14,FALSE)</f>
        <v>0.99345476610757655</v>
      </c>
      <c r="C11">
        <f>VLOOKUP($A11,'Case-2'!$A$1:$AN$21,14,FALSE)</f>
        <v>0.9481154585679078</v>
      </c>
      <c r="D11">
        <f>VLOOKUP($A11,'Case-3'!$A$1:$AN$21,14,FALSE)</f>
        <v>0.8717232972894744</v>
      </c>
      <c r="E11">
        <f>VLOOKUP($A11,'Case-4'!$A$1:$AN$21,14,FALSE)</f>
        <v>0.83862841176429614</v>
      </c>
      <c r="F11">
        <f>VLOOKUP($A11,'Case-5'!$A$1:$AN$21,14,FALSE)</f>
        <v>0.81485657110434573</v>
      </c>
      <c r="G11">
        <f>VLOOKUP($A11,'Case-6'!$A$1:$AN$21,14,FALSE)</f>
        <v>0.80150117569167834</v>
      </c>
    </row>
    <row r="12" spans="1:7">
      <c r="A12" s="2">
        <v>66</v>
      </c>
      <c r="B12">
        <f>VLOOKUP($A12,'Case-1'!$A$1:$AN$21,14,FALSE)</f>
        <v>0.98838455613748588</v>
      </c>
      <c r="C12">
        <f>VLOOKUP($A12,'Case-2'!$A$1:$AN$21,14,FALSE)</f>
        <v>0.94841556745098698</v>
      </c>
      <c r="D12">
        <f>VLOOKUP($A12,'Case-3'!$A$1:$AN$21,14,FALSE)</f>
        <v>0.86824177960318416</v>
      </c>
      <c r="E12">
        <f>VLOOKUP($A12,'Case-4'!$A$1:$AN$21,14,FALSE)</f>
        <v>0.83402633317988206</v>
      </c>
      <c r="F12">
        <f>VLOOKUP($A12,'Case-5'!$A$1:$AN$21,14,FALSE)</f>
        <v>0.8142283642100081</v>
      </c>
      <c r="G12">
        <f>VLOOKUP($A12,'Case-6'!$A$1:$AN$21,14,FALSE)</f>
        <v>0.79823009998475414</v>
      </c>
    </row>
    <row r="13" spans="1:7">
      <c r="A13" s="3">
        <v>72</v>
      </c>
      <c r="B13">
        <f>VLOOKUP($A13,'Case-1'!$A$1:$AN$21,14,FALSE)</f>
        <v>0.9907450411111336</v>
      </c>
      <c r="C13">
        <f>VLOOKUP($A13,'Case-2'!$A$1:$AN$21,14,FALSE)</f>
        <v>0.94344152089991873</v>
      </c>
      <c r="D13">
        <f>VLOOKUP($A13,'Case-3'!$A$1:$AN$21,14,FALSE)</f>
        <v>0.86808386672591675</v>
      </c>
      <c r="E13">
        <f>VLOOKUP($A13,'Case-4'!$A$1:$AN$21,14,FALSE)</f>
        <v>0.83362164937129057</v>
      </c>
      <c r="F13">
        <f>VLOOKUP($A13,'Case-5'!$A$1:$AN$21,14,FALSE)</f>
        <v>0.81343626428023441</v>
      </c>
      <c r="G13">
        <f>VLOOKUP($A13,'Case-6'!$A$1:$AN$21,14,FALSE)</f>
        <v>0.79852542922240777</v>
      </c>
    </row>
    <row r="14" spans="1:7">
      <c r="A14" s="2">
        <v>78</v>
      </c>
      <c r="B14">
        <f>VLOOKUP($A14,'Case-1'!$A$1:$AN$21,14,FALSE)</f>
        <v>0.99119097590927452</v>
      </c>
      <c r="C14">
        <f>VLOOKUP($A14,'Case-2'!$A$1:$AN$21,14,FALSE)</f>
        <v>0.94985972313916822</v>
      </c>
      <c r="D14">
        <f>VLOOKUP($A14,'Case-3'!$A$1:$AN$21,14,FALSE)</f>
        <v>0.86996876292557823</v>
      </c>
      <c r="E14">
        <f>VLOOKUP($A14,'Case-4'!$A$1:$AN$21,14,FALSE)</f>
        <v>0.83034272137809562</v>
      </c>
      <c r="F14">
        <f>VLOOKUP($A14,'Case-5'!$A$1:$AN$21,14,FALSE)</f>
        <v>0.81230297582588062</v>
      </c>
      <c r="G14">
        <f>VLOOKUP($A14,'Case-6'!$A$1:$AN$21,14,FALSE)</f>
        <v>0.79858881239084534</v>
      </c>
    </row>
    <row r="15" spans="1:7">
      <c r="A15" s="3">
        <v>84</v>
      </c>
      <c r="B15">
        <f>VLOOKUP($A15,'Case-1'!$A$1:$AN$21,14,FALSE)</f>
        <v>0.98667360747392452</v>
      </c>
      <c r="C15">
        <f>VLOOKUP($A15,'Case-2'!$A$1:$AN$21,14,FALSE)</f>
        <v>0.93913462611269138</v>
      </c>
      <c r="D15">
        <f>VLOOKUP($A15,'Case-3'!$A$1:$AN$21,14,FALSE)</f>
        <v>0.86690985822937494</v>
      </c>
      <c r="E15">
        <f>VLOOKUP($A15,'Case-4'!$A$1:$AN$21,14,FALSE)</f>
        <v>0.83330435878890219</v>
      </c>
      <c r="F15">
        <f>VLOOKUP($A15,'Case-5'!$A$1:$AN$21,14,FALSE)</f>
        <v>0.81110322291350023</v>
      </c>
      <c r="G15">
        <f>VLOOKUP($A15,'Case-6'!$A$1:$AN$21,14,FALSE)</f>
        <v>0.79596324717635758</v>
      </c>
    </row>
    <row r="16" spans="1:7">
      <c r="A16" s="2">
        <v>90</v>
      </c>
      <c r="B16">
        <f>VLOOKUP($A16,'Case-1'!$A$1:$AN$21,14,FALSE)</f>
        <v>0.98490554180558154</v>
      </c>
      <c r="C16">
        <f>VLOOKUP($A16,'Case-2'!$A$1:$AN$21,14,FALSE)</f>
        <v>0.94464121053982131</v>
      </c>
      <c r="D16">
        <f>VLOOKUP($A16,'Case-3'!$A$1:$AN$21,14,FALSE)</f>
        <v>0.86709206039957643</v>
      </c>
      <c r="E16">
        <f>VLOOKUP($A16,'Case-4'!$A$1:$AN$21,14,FALSE)</f>
        <v>0.83380357188586007</v>
      </c>
      <c r="F16">
        <f>VLOOKUP($A16,'Case-5'!$A$1:$AN$21,14,FALSE)</f>
        <v>0.8109347733868455</v>
      </c>
      <c r="G16">
        <f>VLOOKUP($A16,'Case-6'!$A$1:$AN$21,14,FALSE)</f>
        <v>0.80009627728474753</v>
      </c>
    </row>
    <row r="17" spans="1:7">
      <c r="A17" s="3">
        <v>96</v>
      </c>
      <c r="B17">
        <f>VLOOKUP($A17,'Case-1'!$A$1:$AN$21,14,FALSE)</f>
        <v>0.98527923431847486</v>
      </c>
      <c r="C17">
        <f>VLOOKUP($A17,'Case-2'!$A$1:$AN$21,14,FALSE)</f>
        <v>0.94173054820843294</v>
      </c>
      <c r="D17">
        <f>VLOOKUP($A17,'Case-3'!$A$1:$AN$21,14,FALSE)</f>
        <v>0.86610610633913931</v>
      </c>
      <c r="E17">
        <f>VLOOKUP($A17,'Case-4'!$A$1:$AN$21,14,FALSE)</f>
        <v>0.83109358558835633</v>
      </c>
      <c r="F17">
        <f>VLOOKUP($A17,'Case-5'!$A$1:$AN$21,14,FALSE)</f>
        <v>0.8088247314278677</v>
      </c>
      <c r="G17">
        <f>VLOOKUP($A17,'Case-6'!$A$1:$AN$21,14,FALSE)</f>
        <v>0.79722316541464155</v>
      </c>
    </row>
    <row r="18" spans="1:7">
      <c r="A18" s="2">
        <v>102</v>
      </c>
      <c r="B18">
        <f>VLOOKUP($A18,'Case-1'!$A$1:$AN$21,14,FALSE)</f>
        <v>0.98808080183689506</v>
      </c>
      <c r="C18">
        <f>VLOOKUP($A18,'Case-2'!$A$1:$AN$21,14,FALSE)</f>
        <v>0.93887794167370853</v>
      </c>
      <c r="D18">
        <f>VLOOKUP($A18,'Case-3'!$A$1:$AN$21,14,FALSE)</f>
        <v>0.86235649261780511</v>
      </c>
      <c r="E18">
        <f>VLOOKUP($A18,'Case-4'!$A$1:$AN$21,14,FALSE)</f>
        <v>0.82988001466585914</v>
      </c>
      <c r="F18">
        <f>VLOOKUP($A18,'Case-5'!$A$1:$AN$21,14,FALSE)</f>
        <v>0.81202556687419414</v>
      </c>
      <c r="G18">
        <f>VLOOKUP($A18,'Case-6'!$A$1:$AN$21,14,FALSE)</f>
        <v>0.79481764114083742</v>
      </c>
    </row>
    <row r="19" spans="1:7">
      <c r="A19" s="3">
        <v>108</v>
      </c>
      <c r="B19">
        <f>VLOOKUP($A19,'Case-1'!$A$1:$AN$21,14,FALSE)</f>
        <v>0.98579071384201256</v>
      </c>
      <c r="C19">
        <f>VLOOKUP($A19,'Case-2'!$A$1:$AN$21,14,FALSE)</f>
        <v>0.93810999029814723</v>
      </c>
      <c r="D19">
        <f>VLOOKUP($A19,'Case-3'!$A$1:$AN$21,14,FALSE)</f>
        <v>0.86616441539899969</v>
      </c>
      <c r="E19">
        <f>VLOOKUP($A19,'Case-4'!$A$1:$AN$21,14,FALSE)</f>
        <v>0.83400524728811265</v>
      </c>
      <c r="F19">
        <f>VLOOKUP($A19,'Case-5'!$A$1:$AN$21,14,FALSE)</f>
        <v>0.81207812619729802</v>
      </c>
      <c r="G19">
        <f>VLOOKUP($A19,'Case-6'!$A$1:$AN$21,14,FALSE)</f>
        <v>0.79784719010847338</v>
      </c>
    </row>
    <row r="20" spans="1:7">
      <c r="A20" s="2">
        <v>114</v>
      </c>
      <c r="B20">
        <f>VLOOKUP($A20,'Case-1'!$A$1:$AN$21,14,FALSE)</f>
        <v>0.98248392490497749</v>
      </c>
      <c r="C20">
        <f>VLOOKUP($A20,'Case-2'!$A$1:$AN$21,14,FALSE)</f>
        <v>0.94274833115640033</v>
      </c>
      <c r="D20">
        <f>VLOOKUP($A20,'Case-3'!$A$1:$AN$21,14,FALSE)</f>
        <v>0.86366986324173523</v>
      </c>
      <c r="E20">
        <f>VLOOKUP($A20,'Case-4'!$A$1:$AN$21,14,FALSE)</f>
        <v>0.8315342280074729</v>
      </c>
      <c r="F20">
        <f>VLOOKUP($A20,'Case-5'!$A$1:$AN$21,14,FALSE)</f>
        <v>0.80992578280627947</v>
      </c>
      <c r="G20">
        <f>VLOOKUP($A20,'Case-6'!$A$1:$AN$21,14,FALSE)</f>
        <v>0.79597421111053424</v>
      </c>
    </row>
    <row r="21" spans="1:7">
      <c r="A21" s="3">
        <v>120</v>
      </c>
      <c r="B21">
        <f>VLOOKUP($A21,'Case-1'!$A$1:$AN$21,14,FALSE)</f>
        <v>0.98201120892271787</v>
      </c>
      <c r="C21">
        <f>VLOOKUP($A21,'Case-2'!$A$1:$AN$21,14,FALSE)</f>
        <v>0.93236442185237134</v>
      </c>
      <c r="D21">
        <f>VLOOKUP($A21,'Case-3'!$A$1:$AN$21,14,FALSE)</f>
        <v>0.8641626004429287</v>
      </c>
      <c r="E21">
        <f>VLOOKUP($A21,'Case-4'!$A$1:$AN$21,14,FALSE)</f>
        <v>0.83045990447941198</v>
      </c>
      <c r="F21">
        <f>VLOOKUP($A21,'Case-5'!$A$1:$AN$21,14,FALSE)</f>
        <v>0.80839364652941503</v>
      </c>
      <c r="G21">
        <f>VLOOKUP($A21,'Case-6'!$A$1:$AN$21,14,FALSE)</f>
        <v>0.79704912423024576</v>
      </c>
    </row>
    <row r="22" spans="1:7">
      <c r="B22">
        <f>AVERAGE(B2:B21)</f>
        <v>0.99247661673498955</v>
      </c>
      <c r="C22">
        <f t="shared" ref="C22:G22" si="0">AVERAGE(C2:C21)</f>
        <v>0.95389161936662459</v>
      </c>
      <c r="D22">
        <f t="shared" si="0"/>
        <v>0.87375518809428354</v>
      </c>
      <c r="E22">
        <f t="shared" si="0"/>
        <v>0.83693331274103833</v>
      </c>
      <c r="F22">
        <f t="shared" si="0"/>
        <v>0.82181636851381046</v>
      </c>
      <c r="G22">
        <f t="shared" si="0"/>
        <v>0.80093181076969411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F6A5-7281-485A-9778-9A3D02A52756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VLOOKUP($A2,'Case-1'!$A$1:$AN$21,15,FALSE)</f>
        <v>1</v>
      </c>
      <c r="C2">
        <f>VLOOKUP($A2,'Case-2'!$A$1:$AN$21,15,FALSE)</f>
        <v>1</v>
      </c>
      <c r="D2">
        <f>VLOOKUP($A2,'Case-3'!$A$1:$AN$21,15,FALSE)</f>
        <v>1</v>
      </c>
      <c r="E2">
        <f>VLOOKUP($A2,'Case-4'!$A$1:$AN$21,15,FALSE)</f>
        <v>1</v>
      </c>
      <c r="F2">
        <f>VLOOKUP($A2,'Case-5'!$A$1:$AN$21,15,FALSE)</f>
        <v>1</v>
      </c>
      <c r="G2">
        <f>VLOOKUP($A2,'Case-6'!$A$1:$AN$21,15,FALSE)</f>
        <v>1</v>
      </c>
    </row>
    <row r="3" spans="1:7">
      <c r="A3" s="3">
        <v>12</v>
      </c>
      <c r="B3">
        <f>VLOOKUP($A3,'Case-1'!$A$1:$AN$21,15,FALSE)</f>
        <v>1</v>
      </c>
      <c r="C3">
        <f>VLOOKUP($A3,'Case-2'!$A$1:$AN$21,15,FALSE)</f>
        <v>1</v>
      </c>
      <c r="D3">
        <f>VLOOKUP($A3,'Case-3'!$A$1:$AN$21,15,FALSE)</f>
        <v>1</v>
      </c>
      <c r="E3">
        <f>VLOOKUP($A3,'Case-4'!$A$1:$AN$21,15,FALSE)</f>
        <v>1</v>
      </c>
      <c r="F3">
        <f>VLOOKUP($A3,'Case-5'!$A$1:$AN$21,15,FALSE)</f>
        <v>1</v>
      </c>
      <c r="G3">
        <f>VLOOKUP($A3,'Case-6'!$A$1:$AN$21,15,FALSE)</f>
        <v>1</v>
      </c>
    </row>
    <row r="4" spans="1:7">
      <c r="A4" s="2">
        <v>18</v>
      </c>
      <c r="B4">
        <f>VLOOKUP($A4,'Case-1'!$A$1:$AN$21,15,FALSE)</f>
        <v>1</v>
      </c>
      <c r="C4">
        <f>VLOOKUP($A4,'Case-2'!$A$1:$AN$21,15,FALSE)</f>
        <v>1</v>
      </c>
      <c r="D4">
        <f>VLOOKUP($A4,'Case-3'!$A$1:$AN$21,15,FALSE)</f>
        <v>1</v>
      </c>
      <c r="E4">
        <f>VLOOKUP($A4,'Case-4'!$A$1:$AN$21,15,FALSE)</f>
        <v>1</v>
      </c>
      <c r="F4">
        <f>VLOOKUP($A4,'Case-5'!$A$1:$AN$21,15,FALSE)</f>
        <v>1</v>
      </c>
      <c r="G4">
        <f>VLOOKUP($A4,'Case-6'!$A$1:$AN$21,15,FALSE)</f>
        <v>1</v>
      </c>
    </row>
    <row r="5" spans="1:7">
      <c r="A5" s="3">
        <v>24</v>
      </c>
      <c r="B5">
        <f>VLOOKUP($A5,'Case-1'!$A$1:$AN$21,15,FALSE)</f>
        <v>1</v>
      </c>
      <c r="C5">
        <f>VLOOKUP($A5,'Case-2'!$A$1:$AN$21,15,FALSE)</f>
        <v>1</v>
      </c>
      <c r="D5">
        <f>VLOOKUP($A5,'Case-3'!$A$1:$AN$21,15,FALSE)</f>
        <v>1</v>
      </c>
      <c r="E5">
        <f>VLOOKUP($A5,'Case-4'!$A$1:$AN$21,15,FALSE)</f>
        <v>1</v>
      </c>
      <c r="F5">
        <f>VLOOKUP($A5,'Case-5'!$A$1:$AN$21,15,FALSE)</f>
        <v>1</v>
      </c>
      <c r="G5">
        <f>VLOOKUP($A5,'Case-6'!$A$1:$AN$21,15,FALSE)</f>
        <v>1</v>
      </c>
    </row>
    <row r="6" spans="1:7">
      <c r="A6" s="2">
        <v>30</v>
      </c>
      <c r="B6">
        <f>VLOOKUP($A6,'Case-1'!$A$1:$AN$21,15,FALSE)</f>
        <v>1</v>
      </c>
      <c r="C6">
        <f>VLOOKUP($A6,'Case-2'!$A$1:$AN$21,15,FALSE)</f>
        <v>1</v>
      </c>
      <c r="D6">
        <f>VLOOKUP($A6,'Case-3'!$A$1:$AN$21,15,FALSE)</f>
        <v>1</v>
      </c>
      <c r="E6">
        <f>VLOOKUP($A6,'Case-4'!$A$1:$AN$21,15,FALSE)</f>
        <v>1</v>
      </c>
      <c r="F6">
        <f>VLOOKUP($A6,'Case-5'!$A$1:$AN$21,15,FALSE)</f>
        <v>1</v>
      </c>
      <c r="G6">
        <f>VLOOKUP($A6,'Case-6'!$A$1:$AN$21,15,FALSE)</f>
        <v>1</v>
      </c>
    </row>
    <row r="7" spans="1:7">
      <c r="A7" s="3">
        <v>36</v>
      </c>
      <c r="B7">
        <f>VLOOKUP($A7,'Case-1'!$A$1:$AN$21,15,FALSE)</f>
        <v>0.99917368421052632</v>
      </c>
      <c r="C7">
        <f>VLOOKUP($A7,'Case-2'!$A$1:$AN$21,15,FALSE)</f>
        <v>0.99644665217391304</v>
      </c>
      <c r="D7">
        <f>VLOOKUP($A7,'Case-3'!$A$1:$AN$21,15,FALSE)</f>
        <v>0.99965517241379309</v>
      </c>
      <c r="E7">
        <f>VLOOKUP($A7,'Case-4'!$A$1:$AN$21,15,FALSE)</f>
        <v>1</v>
      </c>
      <c r="F7">
        <f>VLOOKUP($A7,'Case-5'!$A$1:$AN$21,15,FALSE)</f>
        <v>0.99947368421052629</v>
      </c>
      <c r="G7">
        <f>VLOOKUP($A7,'Case-6'!$A$1:$AN$21,15,FALSE)</f>
        <v>1</v>
      </c>
    </row>
    <row r="8" spans="1:7">
      <c r="A8" s="2">
        <v>42</v>
      </c>
      <c r="B8">
        <f>VLOOKUP($A8,'Case-1'!$A$1:$AN$21,15,FALSE)</f>
        <v>0.99789981069273981</v>
      </c>
      <c r="C8">
        <f>VLOOKUP($A8,'Case-2'!$A$1:$AN$21,15,FALSE)</f>
        <v>0.99979642857142859</v>
      </c>
      <c r="D8">
        <f>VLOOKUP($A8,'Case-3'!$A$1:$AN$21,15,FALSE)</f>
        <v>0.9997225806451614</v>
      </c>
      <c r="E8">
        <f>VLOOKUP($A8,'Case-4'!$A$1:$AN$21,15,FALSE)</f>
        <v>0.99843405450665801</v>
      </c>
      <c r="F8">
        <f>VLOOKUP($A8,'Case-5'!$A$1:$AN$21,15,FALSE)</f>
        <v>0.99822724586288425</v>
      </c>
      <c r="G8">
        <f>VLOOKUP($A8,'Case-6'!$A$1:$AN$21,15,FALSE)</f>
        <v>0.99826154699906089</v>
      </c>
    </row>
    <row r="9" spans="1:7">
      <c r="A9" s="3">
        <v>48</v>
      </c>
      <c r="B9">
        <f>VLOOKUP($A9,'Case-1'!$A$1:$AN$21,15,FALSE)</f>
        <v>0.99583661071562124</v>
      </c>
      <c r="C9">
        <f>VLOOKUP($A9,'Case-2'!$A$1:$AN$21,15,FALSE)</f>
        <v>0.99547028219902989</v>
      </c>
      <c r="D9">
        <f>VLOOKUP($A9,'Case-3'!$A$1:$AN$21,15,FALSE)</f>
        <v>0.99824653072153069</v>
      </c>
      <c r="E9">
        <f>VLOOKUP($A9,'Case-4'!$A$1:$AN$21,15,FALSE)</f>
        <v>0.99839689536561638</v>
      </c>
      <c r="F9">
        <f>VLOOKUP($A9,'Case-5'!$A$1:$AN$21,15,FALSE)</f>
        <v>0.99758967870567561</v>
      </c>
      <c r="G9">
        <f>VLOOKUP($A9,'Case-6'!$A$1:$AN$21,15,FALSE)</f>
        <v>0.99549050608305001</v>
      </c>
    </row>
    <row r="10" spans="1:7">
      <c r="A10" s="2">
        <v>54</v>
      </c>
      <c r="B10">
        <f>VLOOKUP($A10,'Case-1'!$A$1:$AN$21,15,FALSE)</f>
        <v>0.99762185671085502</v>
      </c>
      <c r="C10">
        <f>VLOOKUP($A10,'Case-2'!$A$1:$AN$21,15,FALSE)</f>
        <v>0.99773540416680717</v>
      </c>
      <c r="D10">
        <f>VLOOKUP($A10,'Case-3'!$A$1:$AN$21,15,FALSE)</f>
        <v>0.99194215764245131</v>
      </c>
      <c r="E10">
        <f>VLOOKUP($A10,'Case-4'!$A$1:$AN$21,15,FALSE)</f>
        <v>0.99436332952457995</v>
      </c>
      <c r="F10">
        <f>VLOOKUP($A10,'Case-5'!$A$1:$AN$21,15,FALSE)</f>
        <v>0.99528270709887345</v>
      </c>
      <c r="G10">
        <f>VLOOKUP($A10,'Case-6'!$A$1:$AN$21,15,FALSE)</f>
        <v>0.99270684805247689</v>
      </c>
    </row>
    <row r="11" spans="1:7">
      <c r="A11" s="3">
        <v>60</v>
      </c>
      <c r="B11">
        <f>VLOOKUP($A11,'Case-1'!$A$1:$AN$21,15,FALSE)</f>
        <v>0.99345476610757655</v>
      </c>
      <c r="C11">
        <f>VLOOKUP($A11,'Case-2'!$A$1:$AN$21,15,FALSE)</f>
        <v>0.99423422429852126</v>
      </c>
      <c r="D11">
        <f>VLOOKUP($A11,'Case-3'!$A$1:$AN$21,15,FALSE)</f>
        <v>0.99373296575265013</v>
      </c>
      <c r="E11">
        <f>VLOOKUP($A11,'Case-4'!$A$1:$AN$21,15,FALSE)</f>
        <v>0.99651404038116742</v>
      </c>
      <c r="F11">
        <f>VLOOKUP($A11,'Case-5'!$A$1:$AN$21,15,FALSE)</f>
        <v>0.99173557959523673</v>
      </c>
      <c r="G11">
        <f>VLOOKUP($A11,'Case-6'!$A$1:$AN$21,15,FALSE)</f>
        <v>0.99060846123177526</v>
      </c>
    </row>
    <row r="12" spans="1:7">
      <c r="A12" s="2">
        <v>66</v>
      </c>
      <c r="B12">
        <f>VLOOKUP($A12,'Case-1'!$A$1:$AN$21,15,FALSE)</f>
        <v>0.98838455613748588</v>
      </c>
      <c r="C12">
        <f>VLOOKUP($A12,'Case-2'!$A$1:$AN$21,15,FALSE)</f>
        <v>0.99142184039631975</v>
      </c>
      <c r="D12">
        <f>VLOOKUP($A12,'Case-3'!$A$1:$AN$21,15,FALSE)</f>
        <v>0.98906164041317168</v>
      </c>
      <c r="E12">
        <f>VLOOKUP($A12,'Case-4'!$A$1:$AN$21,15,FALSE)</f>
        <v>0.98875324738792592</v>
      </c>
      <c r="F12">
        <f>VLOOKUP($A12,'Case-5'!$A$1:$AN$21,15,FALSE)</f>
        <v>0.98975384995566706</v>
      </c>
      <c r="G12">
        <f>VLOOKUP($A12,'Case-6'!$A$1:$AN$21,15,FALSE)</f>
        <v>0.98872647443273165</v>
      </c>
    </row>
    <row r="13" spans="1:7">
      <c r="A13" s="3">
        <v>72</v>
      </c>
      <c r="B13">
        <f>VLOOKUP($A13,'Case-1'!$A$1:$AN$21,15,FALSE)</f>
        <v>0.9907450411111336</v>
      </c>
      <c r="C13">
        <f>VLOOKUP($A13,'Case-2'!$A$1:$AN$21,15,FALSE)</f>
        <v>0.99065480714160403</v>
      </c>
      <c r="D13">
        <f>VLOOKUP($A13,'Case-3'!$A$1:$AN$21,15,FALSE)</f>
        <v>0.99185340256265264</v>
      </c>
      <c r="E13">
        <f>VLOOKUP($A13,'Case-4'!$A$1:$AN$21,15,FALSE)</f>
        <v>0.98855652509651104</v>
      </c>
      <c r="F13">
        <f>VLOOKUP($A13,'Case-5'!$A$1:$AN$21,15,FALSE)</f>
        <v>0.98889078252689955</v>
      </c>
      <c r="G13">
        <f>VLOOKUP($A13,'Case-6'!$A$1:$AN$21,15,FALSE)</f>
        <v>0.98777987771352438</v>
      </c>
    </row>
    <row r="14" spans="1:7">
      <c r="A14" s="2">
        <v>78</v>
      </c>
      <c r="B14">
        <f>VLOOKUP($A14,'Case-1'!$A$1:$AN$21,15,FALSE)</f>
        <v>0.99119097590927452</v>
      </c>
      <c r="C14">
        <f>VLOOKUP($A14,'Case-2'!$A$1:$AN$21,15,FALSE)</f>
        <v>0.99057812283214919</v>
      </c>
      <c r="D14">
        <f>VLOOKUP($A14,'Case-3'!$A$1:$AN$21,15,FALSE)</f>
        <v>0.99001688341080629</v>
      </c>
      <c r="E14">
        <f>VLOOKUP($A14,'Case-4'!$A$1:$AN$21,15,FALSE)</f>
        <v>0.98649492388973614</v>
      </c>
      <c r="F14">
        <f>VLOOKUP($A14,'Case-5'!$A$1:$AN$21,15,FALSE)</f>
        <v>0.98797071741826059</v>
      </c>
      <c r="G14">
        <f>VLOOKUP($A14,'Case-6'!$A$1:$AN$21,15,FALSE)</f>
        <v>0.98671881097297698</v>
      </c>
    </row>
    <row r="15" spans="1:7">
      <c r="A15" s="3">
        <v>84</v>
      </c>
      <c r="B15">
        <f>VLOOKUP($A15,'Case-1'!$A$1:$AN$21,15,FALSE)</f>
        <v>0.98667360747392452</v>
      </c>
      <c r="C15">
        <f>VLOOKUP($A15,'Case-2'!$A$1:$AN$21,15,FALSE)</f>
        <v>0.98683494339347422</v>
      </c>
      <c r="D15">
        <f>VLOOKUP($A15,'Case-3'!$A$1:$AN$21,15,FALSE)</f>
        <v>0.98715258277032769</v>
      </c>
      <c r="E15">
        <f>VLOOKUP($A15,'Case-4'!$A$1:$AN$21,15,FALSE)</f>
        <v>0.9877877590269265</v>
      </c>
      <c r="F15">
        <f>VLOOKUP($A15,'Case-5'!$A$1:$AN$21,15,FALSE)</f>
        <v>0.98684869565072608</v>
      </c>
      <c r="G15">
        <f>VLOOKUP($A15,'Case-6'!$A$1:$AN$21,15,FALSE)</f>
        <v>0.98562939866324029</v>
      </c>
    </row>
    <row r="16" spans="1:7">
      <c r="A16" s="2">
        <v>90</v>
      </c>
      <c r="B16">
        <f>VLOOKUP($A16,'Case-1'!$A$1:$AN$21,15,FALSE)</f>
        <v>0.98490554180558154</v>
      </c>
      <c r="C16">
        <f>VLOOKUP($A16,'Case-2'!$A$1:$AN$21,15,FALSE)</f>
        <v>0.99009750760449555</v>
      </c>
      <c r="D16">
        <f>VLOOKUP($A16,'Case-3'!$A$1:$AN$21,15,FALSE)</f>
        <v>0.98718045480941163</v>
      </c>
      <c r="E16">
        <f>VLOOKUP($A16,'Case-4'!$A$1:$AN$21,15,FALSE)</f>
        <v>0.98791854371176779</v>
      </c>
      <c r="F16">
        <f>VLOOKUP($A16,'Case-5'!$A$1:$AN$21,15,FALSE)</f>
        <v>0.98742174945212735</v>
      </c>
      <c r="G16">
        <f>VLOOKUP($A16,'Case-6'!$A$1:$AN$21,15,FALSE)</f>
        <v>0.98888322377731108</v>
      </c>
    </row>
    <row r="17" spans="1:7">
      <c r="A17" s="3">
        <v>96</v>
      </c>
      <c r="B17">
        <f>VLOOKUP($A17,'Case-1'!$A$1:$AN$21,15,FALSE)</f>
        <v>0.98527923431847486</v>
      </c>
      <c r="C17">
        <f>VLOOKUP($A17,'Case-2'!$A$1:$AN$21,15,FALSE)</f>
        <v>0.98696601916975324</v>
      </c>
      <c r="D17">
        <f>VLOOKUP($A17,'Case-3'!$A$1:$AN$21,15,FALSE)</f>
        <v>0.9858296286320154</v>
      </c>
      <c r="E17">
        <f>VLOOKUP($A17,'Case-4'!$A$1:$AN$21,15,FALSE)</f>
        <v>0.9863572358259991</v>
      </c>
      <c r="F17">
        <f>VLOOKUP($A17,'Case-5'!$A$1:$AN$21,15,FALSE)</f>
        <v>0.9846804760397827</v>
      </c>
      <c r="G17">
        <f>VLOOKUP($A17,'Case-6'!$A$1:$AN$21,15,FALSE)</f>
        <v>0.98624767906265665</v>
      </c>
    </row>
    <row r="18" spans="1:7">
      <c r="A18" s="2">
        <v>102</v>
      </c>
      <c r="B18">
        <f>VLOOKUP($A18,'Case-1'!$A$1:$AN$21,15,FALSE)</f>
        <v>0.98808080183689506</v>
      </c>
      <c r="C18">
        <f>VLOOKUP($A18,'Case-2'!$A$1:$AN$21,15,FALSE)</f>
        <v>0.98574627057784781</v>
      </c>
      <c r="D18">
        <f>VLOOKUP($A18,'Case-3'!$A$1:$AN$21,15,FALSE)</f>
        <v>0.98581920455475525</v>
      </c>
      <c r="E18">
        <f>VLOOKUP($A18,'Case-4'!$A$1:$AN$21,15,FALSE)</f>
        <v>0.98610150711935363</v>
      </c>
      <c r="F18">
        <f>VLOOKUP($A18,'Case-5'!$A$1:$AN$21,15,FALSE)</f>
        <v>0.98718919141159345</v>
      </c>
      <c r="G18">
        <f>VLOOKUP($A18,'Case-6'!$A$1:$AN$21,15,FALSE)</f>
        <v>0.98348507523760964</v>
      </c>
    </row>
    <row r="19" spans="1:7">
      <c r="A19" s="3">
        <v>108</v>
      </c>
      <c r="B19">
        <f>VLOOKUP($A19,'Case-1'!$A$1:$AN$21,15,FALSE)</f>
        <v>0.98579071384201256</v>
      </c>
      <c r="C19">
        <f>VLOOKUP($A19,'Case-2'!$A$1:$AN$21,15,FALSE)</f>
        <v>0.98281470433462459</v>
      </c>
      <c r="D19">
        <f>VLOOKUP($A19,'Case-3'!$A$1:$AN$21,15,FALSE)</f>
        <v>0.98754114969551743</v>
      </c>
      <c r="E19">
        <f>VLOOKUP($A19,'Case-4'!$A$1:$AN$21,15,FALSE)</f>
        <v>0.98740620280148428</v>
      </c>
      <c r="F19">
        <f>VLOOKUP($A19,'Case-5'!$A$1:$AN$21,15,FALSE)</f>
        <v>0.98881445541854518</v>
      </c>
      <c r="G19">
        <f>VLOOKUP($A19,'Case-6'!$A$1:$AN$21,15,FALSE)</f>
        <v>0.98666374360410791</v>
      </c>
    </row>
    <row r="20" spans="1:7">
      <c r="A20" s="2">
        <v>114</v>
      </c>
      <c r="B20">
        <f>VLOOKUP($A20,'Case-1'!$A$1:$AN$21,15,FALSE)</f>
        <v>0.98248392490497749</v>
      </c>
      <c r="C20">
        <f>VLOOKUP($A20,'Case-2'!$A$1:$AN$21,15,FALSE)</f>
        <v>0.98568045574203955</v>
      </c>
      <c r="D20">
        <f>VLOOKUP($A20,'Case-3'!$A$1:$AN$21,15,FALSE)</f>
        <v>0.9864661390246674</v>
      </c>
      <c r="E20">
        <f>VLOOKUP($A20,'Case-4'!$A$1:$AN$21,15,FALSE)</f>
        <v>0.98717768226626779</v>
      </c>
      <c r="F20">
        <f>VLOOKUP($A20,'Case-5'!$A$1:$AN$21,15,FALSE)</f>
        <v>0.98454975510686449</v>
      </c>
      <c r="G20">
        <f>VLOOKUP($A20,'Case-6'!$A$1:$AN$21,15,FALSE)</f>
        <v>0.98448686984421352</v>
      </c>
    </row>
    <row r="21" spans="1:7">
      <c r="A21" s="3">
        <v>120</v>
      </c>
      <c r="B21">
        <f>VLOOKUP($A21,'Case-1'!$A$1:$AN$21,15,FALSE)</f>
        <v>0.98201120892271787</v>
      </c>
      <c r="C21">
        <f>VLOOKUP($A21,'Case-2'!$A$1:$AN$21,15,FALSE)</f>
        <v>0.98532634832584276</v>
      </c>
      <c r="D21">
        <f>VLOOKUP($A21,'Case-3'!$A$1:$AN$21,15,FALSE)</f>
        <v>0.98449340787081907</v>
      </c>
      <c r="E21">
        <f>VLOOKUP($A21,'Case-4'!$A$1:$AN$21,15,FALSE)</f>
        <v>0.98689768298841773</v>
      </c>
      <c r="F21">
        <f>VLOOKUP($A21,'Case-5'!$A$1:$AN$21,15,FALSE)</f>
        <v>0.9845512521154689</v>
      </c>
      <c r="G21">
        <f>VLOOKUP($A21,'Case-6'!$A$1:$AN$21,15,FALSE)</f>
        <v>0.98541086999364413</v>
      </c>
    </row>
    <row r="22" spans="1:7">
      <c r="B22">
        <f>AVERAGE(B2:B21)</f>
        <v>0.99247661673498955</v>
      </c>
      <c r="C22">
        <f t="shared" ref="C22:G22" si="0">AVERAGE(C2:C21)</f>
        <v>0.99299020054639242</v>
      </c>
      <c r="D22">
        <f t="shared" si="0"/>
        <v>0.99293569504598655</v>
      </c>
      <c r="E22">
        <f t="shared" si="0"/>
        <v>0.99305798149462043</v>
      </c>
      <c r="F22">
        <f t="shared" si="0"/>
        <v>0.99264899102845661</v>
      </c>
      <c r="G22">
        <f t="shared" si="0"/>
        <v>0.99205496928341896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8E7D-4197-4F93-BB58-90DAE05C0A07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VLOOKUP($A2,'Case-1'!$A$1:$AN$21,16,FALSE)</f>
        <v>1</v>
      </c>
      <c r="C2">
        <f>VLOOKUP($A2,'Case-2'!$A$1:$AN$21,16,FALSE)</f>
        <v>1</v>
      </c>
      <c r="D2">
        <f>VLOOKUP($A2,'Case-3'!$A$1:$AN$21,16,FALSE)</f>
        <v>0.92966666666666675</v>
      </c>
      <c r="E2">
        <f>VLOOKUP($A2,'Case-4'!$A$1:$AN$21,16,FALSE)</f>
        <v>0.83333333333333359</v>
      </c>
      <c r="F2">
        <f>VLOOKUP($A2,'Case-5'!$A$1:$AN$21,16,FALSE)</f>
        <v>0.93766666666666676</v>
      </c>
      <c r="G2">
        <f>VLOOKUP($A2,'Case-6'!$A$1:$AN$21,16,FALSE)</f>
        <v>0.80000000000000016</v>
      </c>
    </row>
    <row r="3" spans="1:7">
      <c r="A3" s="3">
        <v>12</v>
      </c>
      <c r="B3">
        <f>VLOOKUP($A3,'Case-1'!$A$1:$AN$21,16,FALSE)</f>
        <v>1</v>
      </c>
      <c r="C3">
        <f>VLOOKUP($A3,'Case-2'!$A$1:$AN$21,16,FALSE)</f>
        <v>0.98111111111111116</v>
      </c>
      <c r="D3">
        <f>VLOOKUP($A3,'Case-3'!$A$1:$AN$21,16,FALSE)</f>
        <v>0.87402777777777796</v>
      </c>
      <c r="E3">
        <f>VLOOKUP($A3,'Case-4'!$A$1:$AN$21,16,FALSE)</f>
        <v>0.83653846153846168</v>
      </c>
      <c r="F3">
        <f>VLOOKUP($A3,'Case-5'!$A$1:$AN$21,16,FALSE)</f>
        <v>0.8125</v>
      </c>
      <c r="G3">
        <f>VLOOKUP($A3,'Case-6'!$A$1:$AN$21,16,FALSE)</f>
        <v>0.80000000000000016</v>
      </c>
    </row>
    <row r="4" spans="1:7">
      <c r="A4" s="2">
        <v>18</v>
      </c>
      <c r="B4">
        <f>VLOOKUP($A4,'Case-1'!$A$1:$AN$21,16,FALSE)</f>
        <v>1</v>
      </c>
      <c r="C4">
        <f>VLOOKUP($A4,'Case-2'!$A$1:$AN$21,16,FALSE)</f>
        <v>0.96637373737373744</v>
      </c>
      <c r="D4">
        <f>VLOOKUP($A4,'Case-3'!$A$1:$AN$21,16,FALSE)</f>
        <v>0.86370695970695999</v>
      </c>
      <c r="E4">
        <f>VLOOKUP($A4,'Case-4'!$A$1:$AN$21,16,FALSE)</f>
        <v>0.83552514228715613</v>
      </c>
      <c r="F4">
        <f>VLOOKUP($A4,'Case-5'!$A$1:$AN$21,16,FALSE)</f>
        <v>0.81818181818181823</v>
      </c>
      <c r="G4">
        <f>VLOOKUP($A4,'Case-6'!$A$1:$AN$21,16,FALSE)</f>
        <v>0.80569230769230793</v>
      </c>
    </row>
    <row r="5" spans="1:7">
      <c r="A5" s="3">
        <v>24</v>
      </c>
      <c r="B5">
        <f>VLOOKUP($A5,'Case-1'!$A$1:$AN$21,16,FALSE)</f>
        <v>1</v>
      </c>
      <c r="C5">
        <f>VLOOKUP($A5,'Case-2'!$A$1:$AN$21,16,FALSE)</f>
        <v>0.95814184061552476</v>
      </c>
      <c r="D5">
        <f>VLOOKUP($A5,'Case-3'!$A$1:$AN$21,16,FALSE)</f>
        <v>0.86682884599061072</v>
      </c>
      <c r="E5">
        <f>VLOOKUP($A5,'Case-4'!$A$1:$AN$21,16,FALSE)</f>
        <v>0.83458486708062973</v>
      </c>
      <c r="F5">
        <f>VLOOKUP($A5,'Case-5'!$A$1:$AN$21,16,FALSE)</f>
        <v>0.81762175324675312</v>
      </c>
      <c r="G5">
        <f>VLOOKUP($A5,'Case-6'!$A$1:$AN$21,16,FALSE)</f>
        <v>0.80349999999999999</v>
      </c>
    </row>
    <row r="6" spans="1:7">
      <c r="A6" s="2">
        <v>30</v>
      </c>
      <c r="B6">
        <f>VLOOKUP($A6,'Case-1'!$A$1:$AN$21,16,FALSE)</f>
        <v>1</v>
      </c>
      <c r="C6">
        <f>VLOOKUP($A6,'Case-2'!$A$1:$AN$21,16,FALSE)</f>
        <v>0.96002879606633484</v>
      </c>
      <c r="D6">
        <f>VLOOKUP($A6,'Case-3'!$A$1:$AN$21,16,FALSE)</f>
        <v>0.86828815156615669</v>
      </c>
      <c r="E6">
        <f>VLOOKUP($A6,'Case-4'!$A$1:$AN$21,16,FALSE)</f>
        <v>0.83564618549567515</v>
      </c>
      <c r="F6">
        <f>VLOOKUP($A6,'Case-5'!$A$1:$AN$21,16,FALSE)</f>
        <v>0.81878387254620266</v>
      </c>
      <c r="G6">
        <f>VLOOKUP($A6,'Case-6'!$A$1:$AN$21,16,FALSE)</f>
        <v>0.80687991718426522</v>
      </c>
    </row>
    <row r="7" spans="1:7">
      <c r="A7" s="3">
        <v>36</v>
      </c>
      <c r="B7">
        <f>VLOOKUP($A7,'Case-1'!$A$1:$AN$21,16,FALSE)</f>
        <v>0.99903333333333344</v>
      </c>
      <c r="C7">
        <f>VLOOKUP($A7,'Case-2'!$A$1:$AN$21,16,FALSE)</f>
        <v>0.95739900460288141</v>
      </c>
      <c r="D7">
        <f>VLOOKUP($A7,'Case-3'!$A$1:$AN$21,16,FALSE)</f>
        <v>0.86518277713857628</v>
      </c>
      <c r="E7">
        <f>VLOOKUP($A7,'Case-4'!$A$1:$AN$21,16,FALSE)</f>
        <v>0.83568263365085727</v>
      </c>
      <c r="F7">
        <f>VLOOKUP($A7,'Case-5'!$A$1:$AN$21,16,FALSE)</f>
        <v>0.81698345597721889</v>
      </c>
      <c r="G7">
        <f>VLOOKUP($A7,'Case-6'!$A$1:$AN$21,16,FALSE)</f>
        <v>0.80559065934065954</v>
      </c>
    </row>
    <row r="8" spans="1:7">
      <c r="A8" s="2">
        <v>42</v>
      </c>
      <c r="B8">
        <f>VLOOKUP($A8,'Case-1'!$A$1:$AN$21,16,FALSE)</f>
        <v>0.99794828738512953</v>
      </c>
      <c r="C8">
        <f>VLOOKUP($A8,'Case-2'!$A$1:$AN$21,16,FALSE)</f>
        <v>0.95044068018790018</v>
      </c>
      <c r="D8">
        <f>VLOOKUP($A8,'Case-3'!$A$1:$AN$21,16,FALSE)</f>
        <v>0.86796655408216716</v>
      </c>
      <c r="E8">
        <f>VLOOKUP($A8,'Case-4'!$A$1:$AN$21,16,FALSE)</f>
        <v>0.83476957842345878</v>
      </c>
      <c r="F8">
        <f>VLOOKUP($A8,'Case-5'!$A$1:$AN$21,16,FALSE)</f>
        <v>0.81616643454187998</v>
      </c>
      <c r="G8">
        <f>VLOOKUP($A8,'Case-6'!$A$1:$AN$21,16,FALSE)</f>
        <v>0.80365870688451346</v>
      </c>
    </row>
    <row r="9" spans="1:7">
      <c r="A9" s="3">
        <v>48</v>
      </c>
      <c r="B9">
        <f>VLOOKUP($A9,'Case-1'!$A$1:$AN$21,16,FALSE)</f>
        <v>0.99636908179539752</v>
      </c>
      <c r="C9">
        <f>VLOOKUP($A9,'Case-2'!$A$1:$AN$21,16,FALSE)</f>
        <v>0.95130737409207355</v>
      </c>
      <c r="D9">
        <f>VLOOKUP($A9,'Case-3'!$A$1:$AN$21,16,FALSE)</f>
        <v>0.86712295888036095</v>
      </c>
      <c r="E9">
        <f>VLOOKUP($A9,'Case-4'!$A$1:$AN$21,16,FALSE)</f>
        <v>0.83479791799801184</v>
      </c>
      <c r="F9">
        <f>VLOOKUP($A9,'Case-5'!$A$1:$AN$21,16,FALSE)</f>
        <v>0.81513053371245692</v>
      </c>
      <c r="G9">
        <f>VLOOKUP($A9,'Case-6'!$A$1:$AN$21,16,FALSE)</f>
        <v>0.80339375624799303</v>
      </c>
    </row>
    <row r="10" spans="1:7">
      <c r="A10" s="2">
        <v>54</v>
      </c>
      <c r="B10">
        <f>VLOOKUP($A10,'Case-1'!$A$1:$AN$21,16,FALSE)</f>
        <v>0.99760135349163481</v>
      </c>
      <c r="C10">
        <f>VLOOKUP($A10,'Case-2'!$A$1:$AN$21,16,FALSE)</f>
        <v>0.95379367018210492</v>
      </c>
      <c r="D10">
        <f>VLOOKUP($A10,'Case-3'!$A$1:$AN$21,16,FALSE)</f>
        <v>0.86115560188980489</v>
      </c>
      <c r="E10">
        <f>VLOOKUP($A10,'Case-4'!$A$1:$AN$21,16,FALSE)</f>
        <v>0.83132236080904209</v>
      </c>
      <c r="F10">
        <f>VLOOKUP($A10,'Case-5'!$A$1:$AN$21,16,FALSE)</f>
        <v>0.81390404231738644</v>
      </c>
      <c r="G10">
        <f>VLOOKUP($A10,'Case-6'!$A$1:$AN$21,16,FALSE)</f>
        <v>0.79963524186086188</v>
      </c>
    </row>
    <row r="11" spans="1:7">
      <c r="A11" s="3">
        <v>60</v>
      </c>
      <c r="B11">
        <f>VLOOKUP($A11,'Case-1'!$A$1:$AN$21,16,FALSE)</f>
        <v>0.99448093510997859</v>
      </c>
      <c r="C11">
        <f>VLOOKUP($A11,'Case-2'!$A$1:$AN$21,16,FALSE)</f>
        <v>0.94305965519340407</v>
      </c>
      <c r="D11">
        <f>VLOOKUP($A11,'Case-3'!$A$1:$AN$21,16,FALSE)</f>
        <v>0.86351874273335993</v>
      </c>
      <c r="E11">
        <f>VLOOKUP($A11,'Case-4'!$A$1:$AN$21,16,FALSE)</f>
        <v>0.83253546384139732</v>
      </c>
      <c r="F11">
        <f>VLOOKUP($A11,'Case-5'!$A$1:$AN$21,16,FALSE)</f>
        <v>0.81139862068451418</v>
      </c>
      <c r="G11">
        <f>VLOOKUP($A11,'Case-6'!$A$1:$AN$21,16,FALSE)</f>
        <v>0.79959472835378698</v>
      </c>
    </row>
    <row r="12" spans="1:7">
      <c r="A12" s="2">
        <v>66</v>
      </c>
      <c r="B12">
        <f>VLOOKUP($A12,'Case-1'!$A$1:$AN$21,16,FALSE)</f>
        <v>0.98935797295186789</v>
      </c>
      <c r="C12">
        <f>VLOOKUP($A12,'Case-2'!$A$1:$AN$21,16,FALSE)</f>
        <v>0.94251839029346052</v>
      </c>
      <c r="D12">
        <f>VLOOKUP($A12,'Case-3'!$A$1:$AN$21,16,FALSE)</f>
        <v>0.8588975295660819</v>
      </c>
      <c r="E12">
        <f>VLOOKUP($A12,'Case-4'!$A$1:$AN$21,16,FALSE)</f>
        <v>0.8268829273124717</v>
      </c>
      <c r="F12">
        <f>VLOOKUP($A12,'Case-5'!$A$1:$AN$21,16,FALSE)</f>
        <v>0.81011000868965444</v>
      </c>
      <c r="G12">
        <f>VLOOKUP($A12,'Case-6'!$A$1:$AN$21,16,FALSE)</f>
        <v>0.79697601260621809</v>
      </c>
    </row>
    <row r="13" spans="1:7">
      <c r="A13" s="3">
        <v>72</v>
      </c>
      <c r="B13">
        <f>VLOOKUP($A13,'Case-1'!$A$1:$AN$21,16,FALSE)</f>
        <v>0.99106459906407796</v>
      </c>
      <c r="C13">
        <f>VLOOKUP($A13,'Case-2'!$A$1:$AN$21,16,FALSE)</f>
        <v>0.93782208879915396</v>
      </c>
      <c r="D13">
        <f>VLOOKUP($A13,'Case-3'!$A$1:$AN$21,16,FALSE)</f>
        <v>0.8596337366524176</v>
      </c>
      <c r="E13">
        <f>VLOOKUP($A13,'Case-4'!$A$1:$AN$21,16,FALSE)</f>
        <v>0.82659466865415998</v>
      </c>
      <c r="F13">
        <f>VLOOKUP($A13,'Case-5'!$A$1:$AN$21,16,FALSE)</f>
        <v>0.80930456116983629</v>
      </c>
      <c r="G13">
        <f>VLOOKUP($A13,'Case-6'!$A$1:$AN$21,16,FALSE)</f>
        <v>0.79683391018684147</v>
      </c>
    </row>
    <row r="14" spans="1:7">
      <c r="A14" s="2">
        <v>78</v>
      </c>
      <c r="B14">
        <f>VLOOKUP($A14,'Case-1'!$A$1:$AN$21,16,FALSE)</f>
        <v>0.9925797206086725</v>
      </c>
      <c r="C14">
        <f>VLOOKUP($A14,'Case-2'!$A$1:$AN$21,16,FALSE)</f>
        <v>0.94542446173518035</v>
      </c>
      <c r="D14">
        <f>VLOOKUP($A14,'Case-3'!$A$1:$AN$21,16,FALSE)</f>
        <v>0.86033180036720913</v>
      </c>
      <c r="E14">
        <f>VLOOKUP($A14,'Case-4'!$A$1:$AN$21,16,FALSE)</f>
        <v>0.82487103868685585</v>
      </c>
      <c r="F14">
        <f>VLOOKUP($A14,'Case-5'!$A$1:$AN$21,16,FALSE)</f>
        <v>0.80864845641548311</v>
      </c>
      <c r="G14">
        <f>VLOOKUP($A14,'Case-6'!$A$1:$AN$21,16,FALSE)</f>
        <v>0.79670024323526867</v>
      </c>
    </row>
    <row r="15" spans="1:7">
      <c r="A15" s="3">
        <v>84</v>
      </c>
      <c r="B15">
        <f>VLOOKUP($A15,'Case-1'!$A$1:$AN$21,16,FALSE)</f>
        <v>0.98887884986890384</v>
      </c>
      <c r="C15">
        <f>VLOOKUP($A15,'Case-2'!$A$1:$AN$21,16,FALSE)</f>
        <v>0.93348769944646937</v>
      </c>
      <c r="D15">
        <f>VLOOKUP($A15,'Case-3'!$A$1:$AN$21,16,FALSE)</f>
        <v>0.85857312133816499</v>
      </c>
      <c r="E15">
        <f>VLOOKUP($A15,'Case-4'!$A$1:$AN$21,16,FALSE)</f>
        <v>0.82663309092754478</v>
      </c>
      <c r="F15">
        <f>VLOOKUP($A15,'Case-5'!$A$1:$AN$21,16,FALSE)</f>
        <v>0.8072592023700097</v>
      </c>
      <c r="G15">
        <f>VLOOKUP($A15,'Case-6'!$A$1:$AN$21,16,FALSE)</f>
        <v>0.79458038739358494</v>
      </c>
    </row>
    <row r="16" spans="1:7">
      <c r="A16" s="2">
        <v>90</v>
      </c>
      <c r="B16">
        <f>VLOOKUP($A16,'Case-1'!$A$1:$AN$21,16,FALSE)</f>
        <v>0.98639308015837801</v>
      </c>
      <c r="C16">
        <f>VLOOKUP($A16,'Case-2'!$A$1:$AN$21,16,FALSE)</f>
        <v>0.9411744285716297</v>
      </c>
      <c r="D16">
        <f>VLOOKUP($A16,'Case-3'!$A$1:$AN$21,16,FALSE)</f>
        <v>0.8597219620725266</v>
      </c>
      <c r="E16">
        <f>VLOOKUP($A16,'Case-4'!$A$1:$AN$21,16,FALSE)</f>
        <v>0.82729320963698283</v>
      </c>
      <c r="F16">
        <f>VLOOKUP($A16,'Case-5'!$A$1:$AN$21,16,FALSE)</f>
        <v>0.80740463379256933</v>
      </c>
      <c r="G16">
        <f>VLOOKUP($A16,'Case-6'!$A$1:$AN$21,16,FALSE)</f>
        <v>0.79849417513521881</v>
      </c>
    </row>
    <row r="17" spans="1:7">
      <c r="A17" s="3">
        <v>96</v>
      </c>
      <c r="B17">
        <f>VLOOKUP($A17,'Case-1'!$A$1:$AN$21,16,FALSE)</f>
        <v>0.9868801931088208</v>
      </c>
      <c r="C17">
        <f>VLOOKUP($A17,'Case-2'!$A$1:$AN$21,16,FALSE)</f>
        <v>0.93639135919372252</v>
      </c>
      <c r="D17">
        <f>VLOOKUP($A17,'Case-3'!$A$1:$AN$21,16,FALSE)</f>
        <v>0.85703898023430558</v>
      </c>
      <c r="E17">
        <f>VLOOKUP($A17,'Case-4'!$A$1:$AN$21,16,FALSE)</f>
        <v>0.82467525428098765</v>
      </c>
      <c r="F17">
        <f>VLOOKUP($A17,'Case-5'!$A$1:$AN$21,16,FALSE)</f>
        <v>0.80529960045790872</v>
      </c>
      <c r="G17">
        <f>VLOOKUP($A17,'Case-6'!$A$1:$AN$21,16,FALSE)</f>
        <v>0.795176769328508</v>
      </c>
    </row>
    <row r="18" spans="1:7">
      <c r="A18" s="2">
        <v>102</v>
      </c>
      <c r="B18">
        <f>VLOOKUP($A18,'Case-1'!$A$1:$AN$21,16,FALSE)</f>
        <v>0.989472861713386</v>
      </c>
      <c r="C18">
        <f>VLOOKUP($A18,'Case-2'!$A$1:$AN$21,16,FALSE)</f>
        <v>0.93488782437564111</v>
      </c>
      <c r="D18">
        <f>VLOOKUP($A18,'Case-3'!$A$1:$AN$21,16,FALSE)</f>
        <v>0.85471180293648397</v>
      </c>
      <c r="E18">
        <f>VLOOKUP($A18,'Case-4'!$A$1:$AN$21,16,FALSE)</f>
        <v>0.82497990317170788</v>
      </c>
      <c r="F18">
        <f>VLOOKUP($A18,'Case-5'!$A$1:$AN$21,16,FALSE)</f>
        <v>0.80772094323585741</v>
      </c>
      <c r="G18">
        <f>VLOOKUP($A18,'Case-6'!$A$1:$AN$21,16,FALSE)</f>
        <v>0.793395286195271</v>
      </c>
    </row>
    <row r="19" spans="1:7">
      <c r="A19" s="3">
        <v>108</v>
      </c>
      <c r="B19">
        <f>VLOOKUP($A19,'Case-1'!$A$1:$AN$21,16,FALSE)</f>
        <v>0.98750782951134586</v>
      </c>
      <c r="C19">
        <f>VLOOKUP($A19,'Case-2'!$A$1:$AN$21,16,FALSE)</f>
        <v>0.93370061323746012</v>
      </c>
      <c r="D19">
        <f>VLOOKUP($A19,'Case-3'!$A$1:$AN$21,16,FALSE)</f>
        <v>0.85883890008166308</v>
      </c>
      <c r="E19">
        <f>VLOOKUP($A19,'Case-4'!$A$1:$AN$21,16,FALSE)</f>
        <v>0.82694083970132648</v>
      </c>
      <c r="F19">
        <f>VLOOKUP($A19,'Case-5'!$A$1:$AN$21,16,FALSE)</f>
        <v>0.80857996521298159</v>
      </c>
      <c r="G19">
        <f>VLOOKUP($A19,'Case-6'!$A$1:$AN$21,16,FALSE)</f>
        <v>0.79613036917552149</v>
      </c>
    </row>
    <row r="20" spans="1:7">
      <c r="A20" s="2">
        <v>114</v>
      </c>
      <c r="B20">
        <f>VLOOKUP($A20,'Case-1'!$A$1:$AN$21,16,FALSE)</f>
        <v>0.984459427423239</v>
      </c>
      <c r="C20">
        <f>VLOOKUP($A20,'Case-2'!$A$1:$AN$21,16,FALSE)</f>
        <v>0.93854051470031441</v>
      </c>
      <c r="D20">
        <f>VLOOKUP($A20,'Case-3'!$A$1:$AN$21,16,FALSE)</f>
        <v>0.85603175182950308</v>
      </c>
      <c r="E20">
        <f>VLOOKUP($A20,'Case-4'!$A$1:$AN$21,16,FALSE)</f>
        <v>0.8255882211372233</v>
      </c>
      <c r="F20">
        <f>VLOOKUP($A20,'Case-5'!$A$1:$AN$21,16,FALSE)</f>
        <v>0.80607222528322608</v>
      </c>
      <c r="G20">
        <f>VLOOKUP($A20,'Case-6'!$A$1:$AN$21,16,FALSE)</f>
        <v>0.79437234717390914</v>
      </c>
    </row>
    <row r="21" spans="1:7">
      <c r="A21" s="3">
        <v>120</v>
      </c>
      <c r="B21">
        <f>VLOOKUP($A21,'Case-1'!$A$1:$AN$21,16,FALSE)</f>
        <v>0.98452039110574552</v>
      </c>
      <c r="C21">
        <f>VLOOKUP($A21,'Case-2'!$A$1:$AN$21,16,FALSE)</f>
        <v>0.92738504187001458</v>
      </c>
      <c r="D21">
        <f>VLOOKUP($A21,'Case-3'!$A$1:$AN$21,16,FALSE)</f>
        <v>0.85639299847177353</v>
      </c>
      <c r="E21">
        <f>VLOOKUP($A21,'Case-4'!$A$1:$AN$21,16,FALSE)</f>
        <v>0.82460646232921864</v>
      </c>
      <c r="F21">
        <f>VLOOKUP($A21,'Case-5'!$A$1:$AN$21,16,FALSE)</f>
        <v>0.80542156606893656</v>
      </c>
      <c r="G21">
        <f>VLOOKUP($A21,'Case-6'!$A$1:$AN$21,16,FALSE)</f>
        <v>0.79531554369487367</v>
      </c>
    </row>
    <row r="22" spans="1:7">
      <c r="B22">
        <f>AVERAGE(B2:B21)</f>
        <v>0.99332739583149565</v>
      </c>
      <c r="C22">
        <f t="shared" ref="C22:G22" si="0">AVERAGE(C2:C21)</f>
        <v>0.94964941458240593</v>
      </c>
      <c r="D22">
        <f t="shared" si="0"/>
        <v>0.86538188099912838</v>
      </c>
      <c r="E22">
        <f t="shared" si="0"/>
        <v>0.83019007801482514</v>
      </c>
      <c r="F22">
        <f t="shared" si="0"/>
        <v>0.81770791802856801</v>
      </c>
      <c r="G22">
        <f t="shared" si="0"/>
        <v>0.79929601808448003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2758-1E75-4FFC-A05B-EE02F63C400B}">
  <dimension ref="A1:G22"/>
  <sheetViews>
    <sheetView workbookViewId="0">
      <selection activeCell="E24" sqref="E24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VLOOKUP($A2,'Case-1'!$A$1:$AN$21,17,FALSE)</f>
        <v>1</v>
      </c>
      <c r="C2">
        <f>VLOOKUP($A2,'Case-2'!$A$1:$AN$21,17,FALSE)</f>
        <v>1</v>
      </c>
      <c r="D2">
        <f>VLOOKUP($A2,'Case-3'!$A$1:$AN$21,17,FALSE)</f>
        <v>1</v>
      </c>
      <c r="E2">
        <f>VLOOKUP($A2,'Case-4'!$A$1:$AN$21,17,FALSE)</f>
        <v>1</v>
      </c>
      <c r="F2">
        <f>VLOOKUP($A2,'Case-5'!$A$1:$AN$21,17,FALSE)</f>
        <v>1</v>
      </c>
      <c r="G2">
        <f>VLOOKUP($A2,'Case-6'!$A$1:$AN$21,17,FALSE)</f>
        <v>1</v>
      </c>
    </row>
    <row r="3" spans="1:7">
      <c r="A3" s="3">
        <v>12</v>
      </c>
      <c r="B3">
        <f>VLOOKUP($A3,'Case-1'!$A$1:$AN$21,17,FALSE)</f>
        <v>1</v>
      </c>
      <c r="C3">
        <f>VLOOKUP($A3,'Case-2'!$A$1:$AN$21,17,FALSE)</f>
        <v>1</v>
      </c>
      <c r="D3">
        <f>VLOOKUP($A3,'Case-3'!$A$1:$AN$21,17,FALSE)</f>
        <v>1</v>
      </c>
      <c r="E3">
        <f>VLOOKUP($A3,'Case-4'!$A$1:$AN$21,17,FALSE)</f>
        <v>1</v>
      </c>
      <c r="F3">
        <f>VLOOKUP($A3,'Case-5'!$A$1:$AN$21,17,FALSE)</f>
        <v>1</v>
      </c>
      <c r="G3">
        <f>VLOOKUP($A3,'Case-6'!$A$1:$AN$21,17,FALSE)</f>
        <v>1</v>
      </c>
    </row>
    <row r="4" spans="1:7">
      <c r="A4" s="2">
        <v>18</v>
      </c>
      <c r="B4">
        <f>VLOOKUP($A4,'Case-1'!$A$1:$AN$21,17,FALSE)</f>
        <v>1</v>
      </c>
      <c r="C4">
        <f>VLOOKUP($A4,'Case-2'!$A$1:$AN$21,17,FALSE)</f>
        <v>1</v>
      </c>
      <c r="D4">
        <f>VLOOKUP($A4,'Case-3'!$A$1:$AN$21,17,FALSE)</f>
        <v>1</v>
      </c>
      <c r="E4">
        <f>VLOOKUP($A4,'Case-4'!$A$1:$AN$21,17,FALSE)</f>
        <v>1</v>
      </c>
      <c r="F4">
        <f>VLOOKUP($A4,'Case-5'!$A$1:$AN$21,17,FALSE)</f>
        <v>1</v>
      </c>
      <c r="G4">
        <f>VLOOKUP($A4,'Case-6'!$A$1:$AN$21,17,FALSE)</f>
        <v>1</v>
      </c>
    </row>
    <row r="5" spans="1:7">
      <c r="A5" s="3">
        <v>24</v>
      </c>
      <c r="B5">
        <f>VLOOKUP($A5,'Case-1'!$A$1:$AN$21,17,FALSE)</f>
        <v>1</v>
      </c>
      <c r="C5">
        <f>VLOOKUP($A5,'Case-2'!$A$1:$AN$21,17,FALSE)</f>
        <v>1</v>
      </c>
      <c r="D5">
        <f>VLOOKUP($A5,'Case-3'!$A$1:$AN$21,17,FALSE)</f>
        <v>1</v>
      </c>
      <c r="E5">
        <f>VLOOKUP($A5,'Case-4'!$A$1:$AN$21,17,FALSE)</f>
        <v>1</v>
      </c>
      <c r="F5">
        <f>VLOOKUP($A5,'Case-5'!$A$1:$AN$21,17,FALSE)</f>
        <v>1</v>
      </c>
      <c r="G5">
        <f>VLOOKUP($A5,'Case-6'!$A$1:$AN$21,17,FALSE)</f>
        <v>1</v>
      </c>
    </row>
    <row r="6" spans="1:7">
      <c r="A6" s="2">
        <v>30</v>
      </c>
      <c r="B6">
        <f>VLOOKUP($A6,'Case-1'!$A$1:$AN$21,17,FALSE)</f>
        <v>1</v>
      </c>
      <c r="C6">
        <f>VLOOKUP($A6,'Case-2'!$A$1:$AN$21,17,FALSE)</f>
        <v>1</v>
      </c>
      <c r="D6">
        <f>VLOOKUP($A6,'Case-3'!$A$1:$AN$21,17,FALSE)</f>
        <v>1</v>
      </c>
      <c r="E6">
        <f>VLOOKUP($A6,'Case-4'!$A$1:$AN$21,17,FALSE)</f>
        <v>1</v>
      </c>
      <c r="F6">
        <f>VLOOKUP($A6,'Case-5'!$A$1:$AN$21,17,FALSE)</f>
        <v>1</v>
      </c>
      <c r="G6">
        <f>VLOOKUP($A6,'Case-6'!$A$1:$AN$21,17,FALSE)</f>
        <v>1</v>
      </c>
    </row>
    <row r="7" spans="1:7">
      <c r="A7" s="3">
        <v>36</v>
      </c>
      <c r="B7">
        <f>VLOOKUP($A7,'Case-1'!$A$1:$AN$21,17,FALSE)</f>
        <v>0.99903333333333344</v>
      </c>
      <c r="C7">
        <f>VLOOKUP($A7,'Case-2'!$A$1:$AN$21,17,FALSE)</f>
        <v>0.99737489035087723</v>
      </c>
      <c r="D7">
        <f>VLOOKUP($A7,'Case-3'!$A$1:$AN$21,17,FALSE)</f>
        <v>0.99962962962962953</v>
      </c>
      <c r="E7">
        <f>VLOOKUP($A7,'Case-4'!$A$1:$AN$21,17,FALSE)</f>
        <v>1</v>
      </c>
      <c r="F7">
        <f>VLOOKUP($A7,'Case-5'!$A$1:$AN$21,17,FALSE)</f>
        <v>0.99945945945945946</v>
      </c>
      <c r="G7">
        <f>VLOOKUP($A7,'Case-6'!$A$1:$AN$21,17,FALSE)</f>
        <v>1</v>
      </c>
    </row>
    <row r="8" spans="1:7">
      <c r="A8" s="2">
        <v>42</v>
      </c>
      <c r="B8">
        <f>VLOOKUP($A8,'Case-1'!$A$1:$AN$21,17,FALSE)</f>
        <v>0.99794828738512953</v>
      </c>
      <c r="C8">
        <f>VLOOKUP($A8,'Case-2'!$A$1:$AN$21,17,FALSE)</f>
        <v>0.99979642857142859</v>
      </c>
      <c r="D8">
        <f>VLOOKUP($A8,'Case-3'!$A$1:$AN$21,17,FALSE)</f>
        <v>0.999851724137931</v>
      </c>
      <c r="E8">
        <f>VLOOKUP($A8,'Case-4'!$A$1:$AN$21,17,FALSE)</f>
        <v>0.99889626373626383</v>
      </c>
      <c r="F8">
        <f>VLOOKUP($A8,'Case-5'!$A$1:$AN$21,17,FALSE)</f>
        <v>0.99824018232963485</v>
      </c>
      <c r="G8">
        <f>VLOOKUP($A8,'Case-6'!$A$1:$AN$21,17,FALSE)</f>
        <v>0.99822308546059935</v>
      </c>
    </row>
    <row r="9" spans="1:7">
      <c r="A9" s="3">
        <v>48</v>
      </c>
      <c r="B9">
        <f>VLOOKUP($A9,'Case-1'!$A$1:$AN$21,17,FALSE)</f>
        <v>0.99636908179539752</v>
      </c>
      <c r="C9">
        <f>VLOOKUP($A9,'Case-2'!$A$1:$AN$21,17,FALSE)</f>
        <v>0.99542160662828572</v>
      </c>
      <c r="D9">
        <f>VLOOKUP($A9,'Case-3'!$A$1:$AN$21,17,FALSE)</f>
        <v>0.99834799064787205</v>
      </c>
      <c r="E9">
        <f>VLOOKUP($A9,'Case-4'!$A$1:$AN$21,17,FALSE)</f>
        <v>0.99833832562593272</v>
      </c>
      <c r="F9">
        <f>VLOOKUP($A9,'Case-5'!$A$1:$AN$21,17,FALSE)</f>
        <v>0.99748563592156114</v>
      </c>
      <c r="G9">
        <f>VLOOKUP($A9,'Case-6'!$A$1:$AN$21,17,FALSE)</f>
        <v>0.99546987249157504</v>
      </c>
    </row>
    <row r="10" spans="1:7">
      <c r="A10" s="2">
        <v>54</v>
      </c>
      <c r="B10">
        <f>VLOOKUP($A10,'Case-1'!$A$1:$AN$21,17,FALSE)</f>
        <v>0.99760135349163481</v>
      </c>
      <c r="C10">
        <f>VLOOKUP($A10,'Case-2'!$A$1:$AN$21,17,FALSE)</f>
        <v>0.99781139686823894</v>
      </c>
      <c r="D10">
        <f>VLOOKUP($A10,'Case-3'!$A$1:$AN$21,17,FALSE)</f>
        <v>0.99267450729185258</v>
      </c>
      <c r="E10">
        <f>VLOOKUP($A10,'Case-4'!$A$1:$AN$21,17,FALSE)</f>
        <v>0.99468847164376617</v>
      </c>
      <c r="F10">
        <f>VLOOKUP($A10,'Case-5'!$A$1:$AN$21,17,FALSE)</f>
        <v>0.99530886060873602</v>
      </c>
      <c r="G10">
        <f>VLOOKUP($A10,'Case-6'!$A$1:$AN$21,17,FALSE)</f>
        <v>0.99265554169674874</v>
      </c>
    </row>
    <row r="11" spans="1:7">
      <c r="A11" s="3">
        <v>60</v>
      </c>
      <c r="B11">
        <f>VLOOKUP($A11,'Case-1'!$A$1:$AN$21,17,FALSE)</f>
        <v>0.99448093510997859</v>
      </c>
      <c r="C11">
        <f>VLOOKUP($A11,'Case-2'!$A$1:$AN$21,17,FALSE)</f>
        <v>0.99485881143083477</v>
      </c>
      <c r="D11">
        <f>VLOOKUP($A11,'Case-3'!$A$1:$AN$21,17,FALSE)</f>
        <v>0.99444212043371027</v>
      </c>
      <c r="E11">
        <f>VLOOKUP($A11,'Case-4'!$A$1:$AN$21,17,FALSE)</f>
        <v>0.9965928571378827</v>
      </c>
      <c r="F11">
        <f>VLOOKUP($A11,'Case-5'!$A$1:$AN$21,17,FALSE)</f>
        <v>0.99256611282393603</v>
      </c>
      <c r="G11">
        <f>VLOOKUP($A11,'Case-6'!$A$1:$AN$21,17,FALSE)</f>
        <v>0.99081429631328133</v>
      </c>
    </row>
    <row r="12" spans="1:7">
      <c r="A12" s="2">
        <v>66</v>
      </c>
      <c r="B12">
        <f>VLOOKUP($A12,'Case-1'!$A$1:$AN$21,17,FALSE)</f>
        <v>0.98935797295186789</v>
      </c>
      <c r="C12">
        <f>VLOOKUP($A12,'Case-2'!$A$1:$AN$21,17,FALSE)</f>
        <v>0.99156629675157126</v>
      </c>
      <c r="D12">
        <f>VLOOKUP($A12,'Case-3'!$A$1:$AN$21,17,FALSE)</f>
        <v>0.98948314978673391</v>
      </c>
      <c r="E12">
        <f>VLOOKUP($A12,'Case-4'!$A$1:$AN$21,17,FALSE)</f>
        <v>0.98862023581371172</v>
      </c>
      <c r="F12">
        <f>VLOOKUP($A12,'Case-5'!$A$1:$AN$21,17,FALSE)</f>
        <v>0.99002616502745056</v>
      </c>
      <c r="G12">
        <f>VLOOKUP($A12,'Case-6'!$A$1:$AN$21,17,FALSE)</f>
        <v>0.98874729666586791</v>
      </c>
    </row>
    <row r="13" spans="1:7">
      <c r="A13" s="3">
        <v>72</v>
      </c>
      <c r="B13">
        <f>VLOOKUP($A13,'Case-1'!$A$1:$AN$21,17,FALSE)</f>
        <v>0.99106459906407796</v>
      </c>
      <c r="C13">
        <f>VLOOKUP($A13,'Case-2'!$A$1:$AN$21,17,FALSE)</f>
        <v>0.99203702721535991</v>
      </c>
      <c r="D13">
        <f>VLOOKUP($A13,'Case-3'!$A$1:$AN$21,17,FALSE)</f>
        <v>0.99266754189607542</v>
      </c>
      <c r="E13">
        <f>VLOOKUP($A13,'Case-4'!$A$1:$AN$21,17,FALSE)</f>
        <v>0.98889689225895305</v>
      </c>
      <c r="F13">
        <f>VLOOKUP($A13,'Case-5'!$A$1:$AN$21,17,FALSE)</f>
        <v>0.9894174491259724</v>
      </c>
      <c r="G13">
        <f>VLOOKUP($A13,'Case-6'!$A$1:$AN$21,17,FALSE)</f>
        <v>0.98795425713186891</v>
      </c>
    </row>
    <row r="14" spans="1:7">
      <c r="A14" s="2">
        <v>78</v>
      </c>
      <c r="B14">
        <f>VLOOKUP($A14,'Case-1'!$A$1:$AN$21,17,FALSE)</f>
        <v>0.9925797206086725</v>
      </c>
      <c r="C14">
        <f>VLOOKUP($A14,'Case-2'!$A$1:$AN$21,17,FALSE)</f>
        <v>0.99135487587089699</v>
      </c>
      <c r="D14">
        <f>VLOOKUP($A14,'Case-3'!$A$1:$AN$21,17,FALSE)</f>
        <v>0.99061271245586069</v>
      </c>
      <c r="E14">
        <f>VLOOKUP($A14,'Case-4'!$A$1:$AN$21,17,FALSE)</f>
        <v>0.98729491131002667</v>
      </c>
      <c r="F14">
        <f>VLOOKUP($A14,'Case-5'!$A$1:$AN$21,17,FALSE)</f>
        <v>0.98845936350640207</v>
      </c>
      <c r="G14">
        <f>VLOOKUP($A14,'Case-6'!$A$1:$AN$21,17,FALSE)</f>
        <v>0.98701893569117305</v>
      </c>
    </row>
    <row r="15" spans="1:7">
      <c r="A15" s="3">
        <v>84</v>
      </c>
      <c r="B15">
        <f>VLOOKUP($A15,'Case-1'!$A$1:$AN$21,17,FALSE)</f>
        <v>0.98887884986890384</v>
      </c>
      <c r="C15">
        <f>VLOOKUP($A15,'Case-2'!$A$1:$AN$21,17,FALSE)</f>
        <v>0.98801836606207016</v>
      </c>
      <c r="D15">
        <f>VLOOKUP($A15,'Case-3'!$A$1:$AN$21,17,FALSE)</f>
        <v>0.98815888837917976</v>
      </c>
      <c r="E15">
        <f>VLOOKUP($A15,'Case-4'!$A$1:$AN$21,17,FALSE)</f>
        <v>0.98816640322622495</v>
      </c>
      <c r="F15">
        <f>VLOOKUP($A15,'Case-5'!$A$1:$AN$21,17,FALSE)</f>
        <v>0.98717400715056247</v>
      </c>
      <c r="G15">
        <f>VLOOKUP($A15,'Case-6'!$A$1:$AN$21,17,FALSE)</f>
        <v>0.98560169097529926</v>
      </c>
    </row>
    <row r="16" spans="1:7">
      <c r="A16" s="2">
        <v>90</v>
      </c>
      <c r="B16">
        <f>VLOOKUP($A16,'Case-1'!$A$1:$AN$21,17,FALSE)</f>
        <v>0.98639308015837801</v>
      </c>
      <c r="C16">
        <f>VLOOKUP($A16,'Case-2'!$A$1:$AN$21,17,FALSE)</f>
        <v>0.99144010190112275</v>
      </c>
      <c r="D16">
        <f>VLOOKUP($A16,'Case-3'!$A$1:$AN$21,17,FALSE)</f>
        <v>0.98837423813715863</v>
      </c>
      <c r="E16">
        <f>VLOOKUP($A16,'Case-4'!$A$1:$AN$21,17,FALSE)</f>
        <v>0.9885631110539449</v>
      </c>
      <c r="F16">
        <f>VLOOKUP($A16,'Case-5'!$A$1:$AN$21,17,FALSE)</f>
        <v>0.98771041077153676</v>
      </c>
      <c r="G16">
        <f>VLOOKUP($A16,'Case-6'!$A$1:$AN$21,17,FALSE)</f>
        <v>0.98919127884914071</v>
      </c>
    </row>
    <row r="17" spans="1:7">
      <c r="A17" s="3">
        <v>96</v>
      </c>
      <c r="B17">
        <f>VLOOKUP($A17,'Case-1'!$A$1:$AN$21,17,FALSE)</f>
        <v>0.9868801931088208</v>
      </c>
      <c r="C17">
        <f>VLOOKUP($A17,'Case-2'!$A$1:$AN$21,17,FALSE)</f>
        <v>0.98757459410687121</v>
      </c>
      <c r="D17">
        <f>VLOOKUP($A17,'Case-3'!$A$1:$AN$21,17,FALSE)</f>
        <v>0.98708694777124073</v>
      </c>
      <c r="E17">
        <f>VLOOKUP($A17,'Case-4'!$A$1:$AN$21,17,FALSE)</f>
        <v>0.98697903077091054</v>
      </c>
      <c r="F17">
        <f>VLOOKUP($A17,'Case-5'!$A$1:$AN$21,17,FALSE)</f>
        <v>0.98499795193659334</v>
      </c>
      <c r="G17">
        <f>VLOOKUP($A17,'Case-6'!$A$1:$AN$21,17,FALSE)</f>
        <v>0.98619030248638906</v>
      </c>
    </row>
    <row r="18" spans="1:7">
      <c r="A18" s="2">
        <v>102</v>
      </c>
      <c r="B18">
        <f>VLOOKUP($A18,'Case-1'!$A$1:$AN$21,17,FALSE)</f>
        <v>0.989472861713386</v>
      </c>
      <c r="C18">
        <f>VLOOKUP($A18,'Case-2'!$A$1:$AN$21,17,FALSE)</f>
        <v>0.98784598440516369</v>
      </c>
      <c r="D18">
        <f>VLOOKUP($A18,'Case-3'!$A$1:$AN$21,17,FALSE)</f>
        <v>0.98644003991347562</v>
      </c>
      <c r="E18">
        <f>VLOOKUP($A18,'Case-4'!$A$1:$AN$21,17,FALSE)</f>
        <v>0.98687572328763784</v>
      </c>
      <c r="F18">
        <f>VLOOKUP($A18,'Case-5'!$A$1:$AN$21,17,FALSE)</f>
        <v>0.98748290700539054</v>
      </c>
      <c r="G18">
        <f>VLOOKUP($A18,'Case-6'!$A$1:$AN$21,17,FALSE)</f>
        <v>0.98366981089278049</v>
      </c>
    </row>
    <row r="19" spans="1:7">
      <c r="A19" s="3">
        <v>108</v>
      </c>
      <c r="B19">
        <f>VLOOKUP($A19,'Case-1'!$A$1:$AN$21,17,FALSE)</f>
        <v>0.98750782951134586</v>
      </c>
      <c r="C19">
        <f>VLOOKUP($A19,'Case-2'!$A$1:$AN$21,17,FALSE)</f>
        <v>0.98424373805297494</v>
      </c>
      <c r="D19">
        <f>VLOOKUP($A19,'Case-3'!$A$1:$AN$21,17,FALSE)</f>
        <v>0.98866780940811205</v>
      </c>
      <c r="E19">
        <f>VLOOKUP($A19,'Case-4'!$A$1:$AN$21,17,FALSE)</f>
        <v>0.98781254556419584</v>
      </c>
      <c r="F19">
        <f>VLOOKUP($A19,'Case-5'!$A$1:$AN$21,17,FALSE)</f>
        <v>0.98928020426641505</v>
      </c>
      <c r="G19">
        <f>VLOOKUP($A19,'Case-6'!$A$1:$AN$21,17,FALSE)</f>
        <v>0.98674050506142175</v>
      </c>
    </row>
    <row r="20" spans="1:7">
      <c r="A20" s="2">
        <v>114</v>
      </c>
      <c r="B20">
        <f>VLOOKUP($A20,'Case-1'!$A$1:$AN$21,17,FALSE)</f>
        <v>0.984459427423239</v>
      </c>
      <c r="C20">
        <f>VLOOKUP($A20,'Case-2'!$A$1:$AN$21,17,FALSE)</f>
        <v>0.98752585676311888</v>
      </c>
      <c r="D20">
        <f>VLOOKUP($A20,'Case-3'!$A$1:$AN$21,17,FALSE)</f>
        <v>0.98747430716768436</v>
      </c>
      <c r="E20">
        <f>VLOOKUP($A20,'Case-4'!$A$1:$AN$21,17,FALSE)</f>
        <v>0.98797753836386015</v>
      </c>
      <c r="F20">
        <f>VLOOKUP($A20,'Case-5'!$A$1:$AN$21,17,FALSE)</f>
        <v>0.98494076856883361</v>
      </c>
      <c r="G20">
        <f>VLOOKUP($A20,'Case-6'!$A$1:$AN$21,17,FALSE)</f>
        <v>0.98462668806655473</v>
      </c>
    </row>
    <row r="21" spans="1:7">
      <c r="A21" s="3">
        <v>120</v>
      </c>
      <c r="B21">
        <f>VLOOKUP($A21,'Case-1'!$A$1:$AN$21,17,FALSE)</f>
        <v>0.98452039110574552</v>
      </c>
      <c r="C21">
        <f>VLOOKUP($A21,'Case-2'!$A$1:$AN$21,17,FALSE)</f>
        <v>0.98616431550060046</v>
      </c>
      <c r="D21">
        <f>VLOOKUP($A21,'Case-3'!$A$1:$AN$21,17,FALSE)</f>
        <v>0.98579755722856677</v>
      </c>
      <c r="E21">
        <f>VLOOKUP($A21,'Case-4'!$A$1:$AN$21,17,FALSE)</f>
        <v>0.98762896392671351</v>
      </c>
      <c r="F21">
        <f>VLOOKUP($A21,'Case-5'!$A$1:$AN$21,17,FALSE)</f>
        <v>0.98490971752159095</v>
      </c>
      <c r="G21">
        <f>VLOOKUP($A21,'Case-6'!$A$1:$AN$21,17,FALSE)</f>
        <v>0.9857380516423333</v>
      </c>
    </row>
    <row r="22" spans="1:7">
      <c r="B22">
        <f>AVERAGE(B2:B21)</f>
        <v>0.99332739583149565</v>
      </c>
      <c r="C22">
        <f t="shared" ref="C22:G22" si="0">AVERAGE(C2:C21)</f>
        <v>0.99365171452397083</v>
      </c>
      <c r="D22">
        <f t="shared" si="0"/>
        <v>0.99348545821425416</v>
      </c>
      <c r="E22">
        <f t="shared" si="0"/>
        <v>0.99336656368600129</v>
      </c>
      <c r="F22">
        <f t="shared" si="0"/>
        <v>0.99287295980120382</v>
      </c>
      <c r="G22">
        <f t="shared" si="0"/>
        <v>0.99213208067125169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467A-5201-4893-AD47-CA69AB795D97}">
  <dimension ref="A1:G22"/>
  <sheetViews>
    <sheetView workbookViewId="0">
      <selection activeCell="D25" sqref="D25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VLOOKUP($A2,'Case-1'!$A$1:$AN$21,18,FALSE)</f>
        <v>1</v>
      </c>
      <c r="C2">
        <f>VLOOKUP($A2,'Case-2'!$A$1:$AN$21,18,FALSE)</f>
        <v>1</v>
      </c>
      <c r="D2">
        <f>VLOOKUP($A2,'Case-3'!$A$1:$AN$21,18,FALSE)</f>
        <v>0.93228571428571427</v>
      </c>
      <c r="E2">
        <f>VLOOKUP($A2,'Case-4'!$A$1:$AN$21,18,FALSE)</f>
        <v>0.84547619047619049</v>
      </c>
      <c r="F2">
        <f>VLOOKUP($A2,'Case-5'!$A$1:$AN$21,18,FALSE)</f>
        <v>0.94123809523809521</v>
      </c>
      <c r="G2">
        <f>VLOOKUP($A2,'Case-6'!$A$1:$AN$21,18,FALSE)</f>
        <v>0.80000000000000016</v>
      </c>
    </row>
    <row r="3" spans="1:7">
      <c r="A3" s="3">
        <v>12</v>
      </c>
      <c r="B3">
        <f>VLOOKUP($A3,'Case-1'!$A$1:$AN$21,18,FALSE)</f>
        <v>1</v>
      </c>
      <c r="C3">
        <f>VLOOKUP($A3,'Case-2'!$A$1:$AN$21,18,FALSE)</f>
        <v>0.98255555555555563</v>
      </c>
      <c r="D3">
        <f>VLOOKUP($A3,'Case-3'!$A$1:$AN$21,18,FALSE)</f>
        <v>0.8926515151515152</v>
      </c>
      <c r="E3">
        <f>VLOOKUP($A3,'Case-4'!$A$1:$AN$21,18,FALSE)</f>
        <v>0.84802564102564104</v>
      </c>
      <c r="F3">
        <f>VLOOKUP($A3,'Case-5'!$A$1:$AN$21,18,FALSE)</f>
        <v>0.81713235294117648</v>
      </c>
      <c r="G3">
        <f>VLOOKUP($A3,'Case-6'!$A$1:$AN$21,18,FALSE)</f>
        <v>0.80000000000000016</v>
      </c>
    </row>
    <row r="4" spans="1:7">
      <c r="A4" s="2">
        <v>18</v>
      </c>
      <c r="B4">
        <f>VLOOKUP($A4,'Case-1'!$A$1:$AN$21,18,FALSE)</f>
        <v>1</v>
      </c>
      <c r="C4">
        <f>VLOOKUP($A4,'Case-2'!$A$1:$AN$21,18,FALSE)</f>
        <v>0.97365864325732765</v>
      </c>
      <c r="D4">
        <f>VLOOKUP($A4,'Case-3'!$A$1:$AN$21,18,FALSE)</f>
        <v>0.8883100822466149</v>
      </c>
      <c r="E4">
        <f>VLOOKUP($A4,'Case-4'!$A$1:$AN$21,18,FALSE)</f>
        <v>0.85306304298295144</v>
      </c>
      <c r="F4">
        <f>VLOOKUP($A4,'Case-5'!$A$1:$AN$21,18,FALSE)</f>
        <v>0.83077549407114626</v>
      </c>
      <c r="G4">
        <f>VLOOKUP($A4,'Case-6'!$A$1:$AN$21,18,FALSE)</f>
        <v>0.80875498575498583</v>
      </c>
    </row>
    <row r="5" spans="1:7">
      <c r="A5" s="3">
        <v>24</v>
      </c>
      <c r="B5">
        <f>VLOOKUP($A5,'Case-1'!$A$1:$AN$21,18,FALSE)</f>
        <v>1</v>
      </c>
      <c r="C5">
        <f>VLOOKUP($A5,'Case-2'!$A$1:$AN$21,18,FALSE)</f>
        <v>0.96832020765798876</v>
      </c>
      <c r="D5">
        <f>VLOOKUP($A5,'Case-3'!$A$1:$AN$21,18,FALSE)</f>
        <v>0.88903038027391923</v>
      </c>
      <c r="E5">
        <f>VLOOKUP($A5,'Case-4'!$A$1:$AN$21,18,FALSE)</f>
        <v>0.85490127713920816</v>
      </c>
      <c r="F5">
        <f>VLOOKUP($A5,'Case-5'!$A$1:$AN$21,18,FALSE)</f>
        <v>0.82730773664000934</v>
      </c>
      <c r="G5">
        <f>VLOOKUP($A5,'Case-6'!$A$1:$AN$21,18,FALSE)</f>
        <v>0.80502402402402407</v>
      </c>
    </row>
    <row r="6" spans="1:7">
      <c r="A6" s="2">
        <v>30</v>
      </c>
      <c r="B6">
        <f>VLOOKUP($A6,'Case-1'!$A$1:$AN$21,18,FALSE)</f>
        <v>1</v>
      </c>
      <c r="C6">
        <f>VLOOKUP($A6,'Case-2'!$A$1:$AN$21,18,FALSE)</f>
        <v>0.96911180875185432</v>
      </c>
      <c r="D6">
        <f>VLOOKUP($A6,'Case-3'!$A$1:$AN$21,18,FALSE)</f>
        <v>0.89481815352166627</v>
      </c>
      <c r="E6">
        <f>VLOOKUP($A6,'Case-4'!$A$1:$AN$21,18,FALSE)</f>
        <v>0.85681168181830603</v>
      </c>
      <c r="F6">
        <f>VLOOKUP($A6,'Case-5'!$A$1:$AN$21,18,FALSE)</f>
        <v>0.83088112243026513</v>
      </c>
      <c r="G6">
        <f>VLOOKUP($A6,'Case-6'!$A$1:$AN$21,18,FALSE)</f>
        <v>0.81128763948799243</v>
      </c>
    </row>
    <row r="7" spans="1:7">
      <c r="A7" s="3">
        <v>36</v>
      </c>
      <c r="B7">
        <f>VLOOKUP($A7,'Case-1'!$A$1:$AN$21,18,FALSE)</f>
        <v>0.99924545454545455</v>
      </c>
      <c r="C7">
        <f>VLOOKUP($A7,'Case-2'!$A$1:$AN$21,18,FALSE)</f>
        <v>0.96862274710539698</v>
      </c>
      <c r="D7">
        <f>VLOOKUP($A7,'Case-3'!$A$1:$AN$21,18,FALSE)</f>
        <v>0.88749286764945468</v>
      </c>
      <c r="E7">
        <f>VLOOKUP($A7,'Case-4'!$A$1:$AN$21,18,FALSE)</f>
        <v>0.85351200768522062</v>
      </c>
      <c r="F7">
        <f>VLOOKUP($A7,'Case-5'!$A$1:$AN$21,18,FALSE)</f>
        <v>0.82686251942414069</v>
      </c>
      <c r="G7">
        <f>VLOOKUP($A7,'Case-6'!$A$1:$AN$21,18,FALSE)</f>
        <v>0.8097529406578563</v>
      </c>
    </row>
    <row r="8" spans="1:7">
      <c r="A8" s="2">
        <v>42</v>
      </c>
      <c r="B8">
        <f>VLOOKUP($A8,'Case-1'!$A$1:$AN$21,18,FALSE)</f>
        <v>0.99811067193675895</v>
      </c>
      <c r="C8">
        <f>VLOOKUP($A8,'Case-2'!$A$1:$AN$21,18,FALSE)</f>
        <v>0.96357173280704156</v>
      </c>
      <c r="D8">
        <f>VLOOKUP($A8,'Case-3'!$A$1:$AN$21,18,FALSE)</f>
        <v>0.89524191075923987</v>
      </c>
      <c r="E8">
        <f>VLOOKUP($A8,'Case-4'!$A$1:$AN$21,18,FALSE)</f>
        <v>0.8523126422878331</v>
      </c>
      <c r="F8">
        <f>VLOOKUP($A8,'Case-5'!$A$1:$AN$21,18,FALSE)</f>
        <v>0.82758243160593503</v>
      </c>
      <c r="G8">
        <f>VLOOKUP($A8,'Case-6'!$A$1:$AN$21,18,FALSE)</f>
        <v>0.8061435522680257</v>
      </c>
    </row>
    <row r="9" spans="1:7">
      <c r="A9" s="3">
        <v>48</v>
      </c>
      <c r="B9">
        <f>VLOOKUP($A9,'Case-1'!$A$1:$AN$21,18,FALSE)</f>
        <v>0.99657258439497509</v>
      </c>
      <c r="C9">
        <f>VLOOKUP($A9,'Case-2'!$A$1:$AN$21,18,FALSE)</f>
        <v>0.96500055083535552</v>
      </c>
      <c r="D9">
        <f>VLOOKUP($A9,'Case-3'!$A$1:$AN$21,18,FALSE)</f>
        <v>0.89406678119255123</v>
      </c>
      <c r="E9">
        <f>VLOOKUP($A9,'Case-4'!$A$1:$AN$21,18,FALSE)</f>
        <v>0.85517948714021963</v>
      </c>
      <c r="F9">
        <f>VLOOKUP($A9,'Case-5'!$A$1:$AN$21,18,FALSE)</f>
        <v>0.82765488580123969</v>
      </c>
      <c r="G9">
        <f>VLOOKUP($A9,'Case-6'!$A$1:$AN$21,18,FALSE)</f>
        <v>0.80850037432487143</v>
      </c>
    </row>
    <row r="10" spans="1:7">
      <c r="A10" s="2">
        <v>54</v>
      </c>
      <c r="B10">
        <f>VLOOKUP($A10,'Case-1'!$A$1:$AN$21,18,FALSE)</f>
        <v>0.99800217397371094</v>
      </c>
      <c r="C10">
        <f>VLOOKUP($A10,'Case-2'!$A$1:$AN$21,18,FALSE)</f>
        <v>0.96568013047677381</v>
      </c>
      <c r="D10">
        <f>VLOOKUP($A10,'Case-3'!$A$1:$AN$21,18,FALSE)</f>
        <v>0.8849081486522502</v>
      </c>
      <c r="E10">
        <f>VLOOKUP($A10,'Case-4'!$A$1:$AN$21,18,FALSE)</f>
        <v>0.85104669283627388</v>
      </c>
      <c r="F10">
        <f>VLOOKUP($A10,'Case-5'!$A$1:$AN$21,18,FALSE)</f>
        <v>0.82444643933621753</v>
      </c>
      <c r="G10">
        <f>VLOOKUP($A10,'Case-6'!$A$1:$AN$21,18,FALSE)</f>
        <v>0.80473081928256984</v>
      </c>
    </row>
    <row r="11" spans="1:7">
      <c r="A11" s="3">
        <v>60</v>
      </c>
      <c r="B11">
        <f>VLOOKUP($A11,'Case-1'!$A$1:$AN$21,18,FALSE)</f>
        <v>0.99493176942537653</v>
      </c>
      <c r="C11">
        <f>VLOOKUP($A11,'Case-2'!$A$1:$AN$21,18,FALSE)</f>
        <v>0.95771407803378061</v>
      </c>
      <c r="D11">
        <f>VLOOKUP($A11,'Case-3'!$A$1:$AN$21,18,FALSE)</f>
        <v>0.89023580168039607</v>
      </c>
      <c r="E11">
        <f>VLOOKUP($A11,'Case-4'!$A$1:$AN$21,18,FALSE)</f>
        <v>0.85306207836353509</v>
      </c>
      <c r="F11">
        <f>VLOOKUP($A11,'Case-5'!$A$1:$AN$21,18,FALSE)</f>
        <v>0.8219925628585053</v>
      </c>
      <c r="G11">
        <f>VLOOKUP($A11,'Case-6'!$A$1:$AN$21,18,FALSE)</f>
        <v>0.80422084480933054</v>
      </c>
    </row>
    <row r="12" spans="1:7">
      <c r="A12" s="2">
        <v>66</v>
      </c>
      <c r="B12">
        <f>VLOOKUP($A12,'Case-1'!$A$1:$AN$21,18,FALSE)</f>
        <v>0.98986718783269911</v>
      </c>
      <c r="C12">
        <f>VLOOKUP($A12,'Case-2'!$A$1:$AN$21,18,FALSE)</f>
        <v>0.95756890337028744</v>
      </c>
      <c r="D12">
        <f>VLOOKUP($A12,'Case-3'!$A$1:$AN$21,18,FALSE)</f>
        <v>0.88582579785773796</v>
      </c>
      <c r="E12">
        <f>VLOOKUP($A12,'Case-4'!$A$1:$AN$21,18,FALSE)</f>
        <v>0.84851555736208117</v>
      </c>
      <c r="F12">
        <f>VLOOKUP($A12,'Case-5'!$A$1:$AN$21,18,FALSE)</f>
        <v>0.8236947500571401</v>
      </c>
      <c r="G12">
        <f>VLOOKUP($A12,'Case-6'!$A$1:$AN$21,18,FALSE)</f>
        <v>0.8018674714265136</v>
      </c>
    </row>
    <row r="13" spans="1:7">
      <c r="A13" s="3">
        <v>72</v>
      </c>
      <c r="B13">
        <f>VLOOKUP($A13,'Case-1'!$A$1:$AN$21,18,FALSE)</f>
        <v>0.992292200153297</v>
      </c>
      <c r="C13">
        <f>VLOOKUP($A13,'Case-2'!$A$1:$AN$21,18,FALSE)</f>
        <v>0.95484636100411624</v>
      </c>
      <c r="D13">
        <f>VLOOKUP($A13,'Case-3'!$A$1:$AN$21,18,FALSE)</f>
        <v>0.8849528898460296</v>
      </c>
      <c r="E13">
        <f>VLOOKUP($A13,'Case-4'!$A$1:$AN$21,18,FALSE)</f>
        <v>0.84739596990370591</v>
      </c>
      <c r="F13">
        <f>VLOOKUP($A13,'Case-5'!$A$1:$AN$21,18,FALSE)</f>
        <v>0.82165578118506</v>
      </c>
      <c r="G13">
        <f>VLOOKUP($A13,'Case-6'!$A$1:$AN$21,18,FALSE)</f>
        <v>0.80153739573888805</v>
      </c>
    </row>
    <row r="14" spans="1:7">
      <c r="A14" s="2">
        <v>78</v>
      </c>
      <c r="B14">
        <f>VLOOKUP($A14,'Case-1'!$A$1:$AN$21,18,FALSE)</f>
        <v>0.99324211395196527</v>
      </c>
      <c r="C14">
        <f>VLOOKUP($A14,'Case-2'!$A$1:$AN$21,18,FALSE)</f>
        <v>0.95999143632569228</v>
      </c>
      <c r="D14">
        <f>VLOOKUP($A14,'Case-3'!$A$1:$AN$21,18,FALSE)</f>
        <v>0.88699254984541809</v>
      </c>
      <c r="E14">
        <f>VLOOKUP($A14,'Case-4'!$A$1:$AN$21,18,FALSE)</f>
        <v>0.84580538941834837</v>
      </c>
      <c r="F14">
        <f>VLOOKUP($A14,'Case-5'!$A$1:$AN$21,18,FALSE)</f>
        <v>0.821083374316255</v>
      </c>
      <c r="G14">
        <f>VLOOKUP($A14,'Case-6'!$A$1:$AN$21,18,FALSE)</f>
        <v>0.8025680554125465</v>
      </c>
    </row>
    <row r="15" spans="1:7">
      <c r="A15" s="3">
        <v>84</v>
      </c>
      <c r="B15">
        <f>VLOOKUP($A15,'Case-1'!$A$1:$AN$21,18,FALSE)</f>
        <v>0.98919240063734137</v>
      </c>
      <c r="C15">
        <f>VLOOKUP($A15,'Case-2'!$A$1:$AN$21,18,FALSE)</f>
        <v>0.95056707861776157</v>
      </c>
      <c r="D15">
        <f>VLOOKUP($A15,'Case-3'!$A$1:$AN$21,18,FALSE)</f>
        <v>0.88464641787455933</v>
      </c>
      <c r="E15">
        <f>VLOOKUP($A15,'Case-4'!$A$1:$AN$21,18,FALSE)</f>
        <v>0.84984741087462867</v>
      </c>
      <c r="F15">
        <f>VLOOKUP($A15,'Case-5'!$A$1:$AN$21,18,FALSE)</f>
        <v>0.81970465531103343</v>
      </c>
      <c r="G15">
        <f>VLOOKUP($A15,'Case-6'!$A$1:$AN$21,18,FALSE)</f>
        <v>0.80013459462474923</v>
      </c>
    </row>
    <row r="16" spans="1:7">
      <c r="A16" s="2">
        <v>90</v>
      </c>
      <c r="B16">
        <f>VLOOKUP($A16,'Case-1'!$A$1:$AN$21,18,FALSE)</f>
        <v>0.98744292196665806</v>
      </c>
      <c r="C16">
        <f>VLOOKUP($A16,'Case-2'!$A$1:$AN$21,18,FALSE)</f>
        <v>0.95563576706265285</v>
      </c>
      <c r="D16">
        <f>VLOOKUP($A16,'Case-3'!$A$1:$AN$21,18,FALSE)</f>
        <v>0.88653878910507378</v>
      </c>
      <c r="E16">
        <f>VLOOKUP($A16,'Case-4'!$A$1:$AN$21,18,FALSE)</f>
        <v>0.84876049645649987</v>
      </c>
      <c r="F16">
        <f>VLOOKUP($A16,'Case-5'!$A$1:$AN$21,18,FALSE)</f>
        <v>0.81990353050947329</v>
      </c>
      <c r="G16">
        <f>VLOOKUP($A16,'Case-6'!$A$1:$AN$21,18,FALSE)</f>
        <v>0.8032677115440745</v>
      </c>
    </row>
    <row r="17" spans="1:7">
      <c r="A17" s="3">
        <v>96</v>
      </c>
      <c r="B17">
        <f>VLOOKUP($A17,'Case-1'!$A$1:$AN$21,18,FALSE)</f>
        <v>0.98876785578019899</v>
      </c>
      <c r="C17">
        <f>VLOOKUP($A17,'Case-2'!$A$1:$AN$21,18,FALSE)</f>
        <v>0.9526031715624198</v>
      </c>
      <c r="D17">
        <f>VLOOKUP($A17,'Case-3'!$A$1:$AN$21,18,FALSE)</f>
        <v>0.88159049129534506</v>
      </c>
      <c r="E17">
        <f>VLOOKUP($A17,'Case-4'!$A$1:$AN$21,18,FALSE)</f>
        <v>0.84771837239681314</v>
      </c>
      <c r="F17">
        <f>VLOOKUP($A17,'Case-5'!$A$1:$AN$21,18,FALSE)</f>
        <v>0.81894327615783435</v>
      </c>
      <c r="G17">
        <f>VLOOKUP($A17,'Case-6'!$A$1:$AN$21,18,FALSE)</f>
        <v>0.80090255462388182</v>
      </c>
    </row>
    <row r="18" spans="1:7">
      <c r="A18" s="2">
        <v>102</v>
      </c>
      <c r="B18">
        <f>VLOOKUP($A18,'Case-1'!$A$1:$AN$21,18,FALSE)</f>
        <v>0.99006346117178878</v>
      </c>
      <c r="C18">
        <f>VLOOKUP($A18,'Case-2'!$A$1:$AN$21,18,FALSE)</f>
        <v>0.95080495867908887</v>
      </c>
      <c r="D18">
        <f>VLOOKUP($A18,'Case-3'!$A$1:$AN$21,18,FALSE)</f>
        <v>0.88388002004138599</v>
      </c>
      <c r="E18">
        <f>VLOOKUP($A18,'Case-4'!$A$1:$AN$21,18,FALSE)</f>
        <v>0.84488979487435723</v>
      </c>
      <c r="F18">
        <f>VLOOKUP($A18,'Case-5'!$A$1:$AN$21,18,FALSE)</f>
        <v>0.82042594917953759</v>
      </c>
      <c r="G18">
        <f>VLOOKUP($A18,'Case-6'!$A$1:$AN$21,18,FALSE)</f>
        <v>0.79850115011702494</v>
      </c>
    </row>
    <row r="19" spans="1:7">
      <c r="A19" s="3">
        <v>108</v>
      </c>
      <c r="B19">
        <f>VLOOKUP($A19,'Case-1'!$A$1:$AN$21,18,FALSE)</f>
        <v>0.98819512220407901</v>
      </c>
      <c r="C19">
        <f>VLOOKUP($A19,'Case-2'!$A$1:$AN$21,18,FALSE)</f>
        <v>0.94997561865171265</v>
      </c>
      <c r="D19">
        <f>VLOOKUP($A19,'Case-3'!$A$1:$AN$21,18,FALSE)</f>
        <v>0.88422467052580656</v>
      </c>
      <c r="E19">
        <f>VLOOKUP($A19,'Case-4'!$A$1:$AN$21,18,FALSE)</f>
        <v>0.84829733409008545</v>
      </c>
      <c r="F19">
        <f>VLOOKUP($A19,'Case-5'!$A$1:$AN$21,18,FALSE)</f>
        <v>0.82178457289221518</v>
      </c>
      <c r="G19">
        <f>VLOOKUP($A19,'Case-6'!$A$1:$AN$21,18,FALSE)</f>
        <v>0.8024353783998267</v>
      </c>
    </row>
    <row r="20" spans="1:7">
      <c r="A20" s="2">
        <v>114</v>
      </c>
      <c r="B20">
        <f>VLOOKUP($A20,'Case-1'!$A$1:$AN$21,18,FALSE)</f>
        <v>0.98580079680583421</v>
      </c>
      <c r="C20">
        <f>VLOOKUP($A20,'Case-2'!$A$1:$AN$21,18,FALSE)</f>
        <v>0.95441086166607636</v>
      </c>
      <c r="D20">
        <f>VLOOKUP($A20,'Case-3'!$A$1:$AN$21,18,FALSE)</f>
        <v>0.88137736892912799</v>
      </c>
      <c r="E20">
        <f>VLOOKUP($A20,'Case-4'!$A$1:$AN$21,18,FALSE)</f>
        <v>0.84623018343263667</v>
      </c>
      <c r="F20">
        <f>VLOOKUP($A20,'Case-5'!$A$1:$AN$21,18,FALSE)</f>
        <v>0.818393899884575</v>
      </c>
      <c r="G20">
        <f>VLOOKUP($A20,'Case-6'!$A$1:$AN$21,18,FALSE)</f>
        <v>0.80007227926213187</v>
      </c>
    </row>
    <row r="21" spans="1:7">
      <c r="A21" s="3">
        <v>120</v>
      </c>
      <c r="B21">
        <f>VLOOKUP($A21,'Case-1'!$A$1:$AN$21,18,FALSE)</f>
        <v>0.98633152985755079</v>
      </c>
      <c r="C21">
        <f>VLOOKUP($A21,'Case-2'!$A$1:$AN$21,18,FALSE)</f>
        <v>0.94755818464314012</v>
      </c>
      <c r="D21">
        <f>VLOOKUP($A21,'Case-3'!$A$1:$AN$21,18,FALSE)</f>
        <v>0.88133525923539124</v>
      </c>
      <c r="E21">
        <f>VLOOKUP($A21,'Case-4'!$A$1:$AN$21,18,FALSE)</f>
        <v>0.84603180986386328</v>
      </c>
      <c r="F21">
        <f>VLOOKUP($A21,'Case-5'!$A$1:$AN$21,18,FALSE)</f>
        <v>0.8198561992246548</v>
      </c>
      <c r="G21">
        <f>VLOOKUP($A21,'Case-6'!$A$1:$AN$21,18,FALSE)</f>
        <v>0.80025309112195842</v>
      </c>
    </row>
    <row r="22" spans="1:7">
      <c r="B22">
        <f>AVERAGE(B2:B21)</f>
        <v>0.99390291223188443</v>
      </c>
      <c r="C22">
        <f t="shared" ref="C22:G22" si="0">AVERAGE(C2:C21)</f>
        <v>0.96240988980320119</v>
      </c>
      <c r="D22">
        <f t="shared" si="0"/>
        <v>0.8895202804984601</v>
      </c>
      <c r="E22">
        <f t="shared" si="0"/>
        <v>0.84984415302141991</v>
      </c>
      <c r="F22">
        <f t="shared" si="0"/>
        <v>0.8290659814532253</v>
      </c>
      <c r="G22">
        <f t="shared" si="0"/>
        <v>0.80349774314406253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D0C7-8830-404A-8A58-F52F2D950417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VLOOKUP($A2,'Case-1'!$A$1:$AN$21,19,FALSE)</f>
        <v>1</v>
      </c>
      <c r="C2">
        <f>VLOOKUP($A2,'Case-2'!$A$1:$AN$21,19,FALSE)</f>
        <v>1</v>
      </c>
      <c r="D2">
        <f>VLOOKUP($A2,'Case-3'!$A$1:$AN$21,19,FALSE)</f>
        <v>1</v>
      </c>
      <c r="E2">
        <f>VLOOKUP($A2,'Case-4'!$A$1:$AN$21,19,FALSE)</f>
        <v>1</v>
      </c>
      <c r="F2">
        <f>VLOOKUP($A2,'Case-5'!$A$1:$AN$21,19,FALSE)</f>
        <v>1</v>
      </c>
      <c r="G2">
        <f>VLOOKUP($A2,'Case-6'!$A$1:$AN$21,19,FALSE)</f>
        <v>1</v>
      </c>
    </row>
    <row r="3" spans="1:7">
      <c r="A3" s="3">
        <v>12</v>
      </c>
      <c r="B3">
        <f>VLOOKUP($A3,'Case-1'!$A$1:$AN$21,19,FALSE)</f>
        <v>1</v>
      </c>
      <c r="C3">
        <f>VLOOKUP($A3,'Case-2'!$A$1:$AN$21,19,FALSE)</f>
        <v>1</v>
      </c>
      <c r="D3">
        <f>VLOOKUP($A3,'Case-3'!$A$1:$AN$21,19,FALSE)</f>
        <v>1</v>
      </c>
      <c r="E3">
        <f>VLOOKUP($A3,'Case-4'!$A$1:$AN$21,19,FALSE)</f>
        <v>1</v>
      </c>
      <c r="F3">
        <f>VLOOKUP($A3,'Case-5'!$A$1:$AN$21,19,FALSE)</f>
        <v>1</v>
      </c>
      <c r="G3">
        <f>VLOOKUP($A3,'Case-6'!$A$1:$AN$21,19,FALSE)</f>
        <v>1</v>
      </c>
    </row>
    <row r="4" spans="1:7">
      <c r="A4" s="2">
        <v>18</v>
      </c>
      <c r="B4">
        <f>VLOOKUP($A4,'Case-1'!$A$1:$AN$21,19,FALSE)</f>
        <v>1</v>
      </c>
      <c r="C4">
        <f>VLOOKUP($A4,'Case-2'!$A$1:$AN$21,19,FALSE)</f>
        <v>1</v>
      </c>
      <c r="D4">
        <f>VLOOKUP($A4,'Case-3'!$A$1:$AN$21,19,FALSE)</f>
        <v>1</v>
      </c>
      <c r="E4">
        <f>VLOOKUP($A4,'Case-4'!$A$1:$AN$21,19,FALSE)</f>
        <v>1</v>
      </c>
      <c r="F4">
        <f>VLOOKUP($A4,'Case-5'!$A$1:$AN$21,19,FALSE)</f>
        <v>1</v>
      </c>
      <c r="G4">
        <f>VLOOKUP($A4,'Case-6'!$A$1:$AN$21,19,FALSE)</f>
        <v>1</v>
      </c>
    </row>
    <row r="5" spans="1:7">
      <c r="A5" s="3">
        <v>24</v>
      </c>
      <c r="B5">
        <f>VLOOKUP($A5,'Case-1'!$A$1:$AN$21,19,FALSE)</f>
        <v>1</v>
      </c>
      <c r="C5">
        <f>VLOOKUP($A5,'Case-2'!$A$1:$AN$21,19,FALSE)</f>
        <v>1</v>
      </c>
      <c r="D5">
        <f>VLOOKUP($A5,'Case-3'!$A$1:$AN$21,19,FALSE)</f>
        <v>1</v>
      </c>
      <c r="E5">
        <f>VLOOKUP($A5,'Case-4'!$A$1:$AN$21,19,FALSE)</f>
        <v>1</v>
      </c>
      <c r="F5">
        <f>VLOOKUP($A5,'Case-5'!$A$1:$AN$21,19,FALSE)</f>
        <v>1</v>
      </c>
      <c r="G5">
        <f>VLOOKUP($A5,'Case-6'!$A$1:$AN$21,19,FALSE)</f>
        <v>1</v>
      </c>
    </row>
    <row r="6" spans="1:7">
      <c r="A6" s="2">
        <v>30</v>
      </c>
      <c r="B6">
        <f>VLOOKUP($A6,'Case-1'!$A$1:$AN$21,19,FALSE)</f>
        <v>1</v>
      </c>
      <c r="C6">
        <f>VLOOKUP($A6,'Case-2'!$A$1:$AN$21,19,FALSE)</f>
        <v>1</v>
      </c>
      <c r="D6">
        <f>VLOOKUP($A6,'Case-3'!$A$1:$AN$21,19,FALSE)</f>
        <v>1</v>
      </c>
      <c r="E6">
        <f>VLOOKUP($A6,'Case-4'!$A$1:$AN$21,19,FALSE)</f>
        <v>1</v>
      </c>
      <c r="F6">
        <f>VLOOKUP($A6,'Case-5'!$A$1:$AN$21,19,FALSE)</f>
        <v>1</v>
      </c>
      <c r="G6">
        <f>VLOOKUP($A6,'Case-6'!$A$1:$AN$21,19,FALSE)</f>
        <v>1</v>
      </c>
    </row>
    <row r="7" spans="1:7">
      <c r="A7" s="3">
        <v>36</v>
      </c>
      <c r="B7">
        <f>VLOOKUP($A7,'Case-1'!$A$1:$AN$21,19,FALSE)</f>
        <v>0.99924545454545455</v>
      </c>
      <c r="C7">
        <f>VLOOKUP($A7,'Case-2'!$A$1:$AN$21,19,FALSE)</f>
        <v>0.99672647126786251</v>
      </c>
      <c r="D7">
        <f>VLOOKUP($A7,'Case-3'!$A$1:$AN$21,19,FALSE)</f>
        <v>0.99965517241379309</v>
      </c>
      <c r="E7">
        <f>VLOOKUP($A7,'Case-4'!$A$1:$AN$21,19,FALSE)</f>
        <v>1</v>
      </c>
      <c r="F7">
        <f>VLOOKUP($A7,'Case-5'!$A$1:$AN$21,19,FALSE)</f>
        <v>0.99947368421052629</v>
      </c>
      <c r="G7">
        <f>VLOOKUP($A7,'Case-6'!$A$1:$AN$21,19,FALSE)</f>
        <v>1</v>
      </c>
    </row>
    <row r="8" spans="1:7">
      <c r="A8" s="2">
        <v>42</v>
      </c>
      <c r="B8">
        <f>VLOOKUP($A8,'Case-1'!$A$1:$AN$21,19,FALSE)</f>
        <v>0.99811067193675895</v>
      </c>
      <c r="C8">
        <f>VLOOKUP($A8,'Case-2'!$A$1:$AN$21,19,FALSE)</f>
        <v>0.99979642857142859</v>
      </c>
      <c r="D8">
        <f>VLOOKUP($A8,'Case-3'!$A$1:$AN$21,19,FALSE)</f>
        <v>0.99978500000000003</v>
      </c>
      <c r="E8">
        <f>VLOOKUP($A8,'Case-4'!$A$1:$AN$21,19,FALSE)</f>
        <v>0.99843405450665801</v>
      </c>
      <c r="F8">
        <f>VLOOKUP($A8,'Case-5'!$A$1:$AN$21,19,FALSE)</f>
        <v>0.99828017055048968</v>
      </c>
      <c r="G8">
        <f>VLOOKUP($A8,'Case-6'!$A$1:$AN$21,19,FALSE)</f>
        <v>0.99826154699906089</v>
      </c>
    </row>
    <row r="9" spans="1:7">
      <c r="A9" s="3">
        <v>48</v>
      </c>
      <c r="B9">
        <f>VLOOKUP($A9,'Case-1'!$A$1:$AN$21,19,FALSE)</f>
        <v>0.99657258439497509</v>
      </c>
      <c r="C9">
        <f>VLOOKUP($A9,'Case-2'!$A$1:$AN$21,19,FALSE)</f>
        <v>0.99590647065855897</v>
      </c>
      <c r="D9">
        <f>VLOOKUP($A9,'Case-3'!$A$1:$AN$21,19,FALSE)</f>
        <v>0.99843419863835003</v>
      </c>
      <c r="E9">
        <f>VLOOKUP($A9,'Case-4'!$A$1:$AN$21,19,FALSE)</f>
        <v>0.99853924583644948</v>
      </c>
      <c r="F9">
        <f>VLOOKUP($A9,'Case-5'!$A$1:$AN$21,19,FALSE)</f>
        <v>0.99758967870567561</v>
      </c>
      <c r="G9">
        <f>VLOOKUP($A9,'Case-6'!$A$1:$AN$21,19,FALSE)</f>
        <v>0.99555508729664521</v>
      </c>
    </row>
    <row r="10" spans="1:7">
      <c r="A10" s="2">
        <v>54</v>
      </c>
      <c r="B10">
        <f>VLOOKUP($A10,'Case-1'!$A$1:$AN$21,19,FALSE)</f>
        <v>0.99800217397371094</v>
      </c>
      <c r="C10">
        <f>VLOOKUP($A10,'Case-2'!$A$1:$AN$21,19,FALSE)</f>
        <v>0.9980030197475156</v>
      </c>
      <c r="D10">
        <f>VLOOKUP($A10,'Case-3'!$A$1:$AN$21,19,FALSE)</f>
        <v>0.99261279327633878</v>
      </c>
      <c r="E10">
        <f>VLOOKUP($A10,'Case-4'!$A$1:$AN$21,19,FALSE)</f>
        <v>0.99475859793024335</v>
      </c>
      <c r="F10">
        <f>VLOOKUP($A10,'Case-5'!$A$1:$AN$21,19,FALSE)</f>
        <v>0.99539271934799745</v>
      </c>
      <c r="G10">
        <f>VLOOKUP($A10,'Case-6'!$A$1:$AN$21,19,FALSE)</f>
        <v>0.99278241995650829</v>
      </c>
    </row>
    <row r="11" spans="1:7">
      <c r="A11" s="3">
        <v>60</v>
      </c>
      <c r="B11">
        <f>VLOOKUP($A11,'Case-1'!$A$1:$AN$21,19,FALSE)</f>
        <v>0.99493176942537653</v>
      </c>
      <c r="C11">
        <f>VLOOKUP($A11,'Case-2'!$A$1:$AN$21,19,FALSE)</f>
        <v>0.99483128794282949</v>
      </c>
      <c r="D11">
        <f>VLOOKUP($A11,'Case-3'!$A$1:$AN$21,19,FALSE)</f>
        <v>0.99436005503581926</v>
      </c>
      <c r="E11">
        <f>VLOOKUP($A11,'Case-4'!$A$1:$AN$21,19,FALSE)</f>
        <v>0.99678803601384003</v>
      </c>
      <c r="F11">
        <f>VLOOKUP($A11,'Case-5'!$A$1:$AN$21,19,FALSE)</f>
        <v>0.99204589713138758</v>
      </c>
      <c r="G11">
        <f>VLOOKUP($A11,'Case-6'!$A$1:$AN$21,19,FALSE)</f>
        <v>0.99077384379673239</v>
      </c>
    </row>
    <row r="12" spans="1:7">
      <c r="A12" s="2">
        <v>66</v>
      </c>
      <c r="B12">
        <f>VLOOKUP($A12,'Case-1'!$A$1:$AN$21,19,FALSE)</f>
        <v>0.98986718783269911</v>
      </c>
      <c r="C12">
        <f>VLOOKUP($A12,'Case-2'!$A$1:$AN$21,19,FALSE)</f>
        <v>0.99256808201281765</v>
      </c>
      <c r="D12">
        <f>VLOOKUP($A12,'Case-3'!$A$1:$AN$21,19,FALSE)</f>
        <v>0.99005267214326742</v>
      </c>
      <c r="E12">
        <f>VLOOKUP($A12,'Case-4'!$A$1:$AN$21,19,FALSE)</f>
        <v>0.98967806479085407</v>
      </c>
      <c r="F12">
        <f>VLOOKUP($A12,'Case-5'!$A$1:$AN$21,19,FALSE)</f>
        <v>0.99022204431379579</v>
      </c>
      <c r="G12">
        <f>VLOOKUP($A12,'Case-6'!$A$1:$AN$21,19,FALSE)</f>
        <v>0.98891977095144046</v>
      </c>
    </row>
    <row r="13" spans="1:7">
      <c r="A13" s="3">
        <v>72</v>
      </c>
      <c r="B13">
        <f>VLOOKUP($A13,'Case-1'!$A$1:$AN$21,19,FALSE)</f>
        <v>0.992292200153297</v>
      </c>
      <c r="C13">
        <f>VLOOKUP($A13,'Case-2'!$A$1:$AN$21,19,FALSE)</f>
        <v>0.99220703217283479</v>
      </c>
      <c r="D13">
        <f>VLOOKUP($A13,'Case-3'!$A$1:$AN$21,19,FALSE)</f>
        <v>0.99237756732101168</v>
      </c>
      <c r="E13">
        <f>VLOOKUP($A13,'Case-4'!$A$1:$AN$21,19,FALSE)</f>
        <v>0.98942393083484126</v>
      </c>
      <c r="F13">
        <f>VLOOKUP($A13,'Case-5'!$A$1:$AN$21,19,FALSE)</f>
        <v>0.98933274928107862</v>
      </c>
      <c r="G13">
        <f>VLOOKUP($A13,'Case-6'!$A$1:$AN$21,19,FALSE)</f>
        <v>0.98797377342751047</v>
      </c>
    </row>
    <row r="14" spans="1:7">
      <c r="A14" s="2">
        <v>78</v>
      </c>
      <c r="B14">
        <f>VLOOKUP($A14,'Case-1'!$A$1:$AN$21,19,FALSE)</f>
        <v>0.99324211395196527</v>
      </c>
      <c r="C14">
        <f>VLOOKUP($A14,'Case-2'!$A$1:$AN$21,19,FALSE)</f>
        <v>0.99206283731895251</v>
      </c>
      <c r="D14">
        <f>VLOOKUP($A14,'Case-3'!$A$1:$AN$21,19,FALSE)</f>
        <v>0.99116493379958448</v>
      </c>
      <c r="E14">
        <f>VLOOKUP($A14,'Case-4'!$A$1:$AN$21,19,FALSE)</f>
        <v>0.98787346482331773</v>
      </c>
      <c r="F14">
        <f>VLOOKUP($A14,'Case-5'!$A$1:$AN$21,19,FALSE)</f>
        <v>0.98864091998901404</v>
      </c>
      <c r="G14">
        <f>VLOOKUP($A14,'Case-6'!$A$1:$AN$21,19,FALSE)</f>
        <v>0.98699219711618758</v>
      </c>
    </row>
    <row r="15" spans="1:7">
      <c r="A15" s="3">
        <v>84</v>
      </c>
      <c r="B15">
        <f>VLOOKUP($A15,'Case-1'!$A$1:$AN$21,19,FALSE)</f>
        <v>0.98919240063734137</v>
      </c>
      <c r="C15">
        <f>VLOOKUP($A15,'Case-2'!$A$1:$AN$21,19,FALSE)</f>
        <v>0.9885974685313349</v>
      </c>
      <c r="D15">
        <f>VLOOKUP($A15,'Case-3'!$A$1:$AN$21,19,FALSE)</f>
        <v>0.98869644366162335</v>
      </c>
      <c r="E15">
        <f>VLOOKUP($A15,'Case-4'!$A$1:$AN$21,19,FALSE)</f>
        <v>0.98898538926741841</v>
      </c>
      <c r="F15">
        <f>VLOOKUP($A15,'Case-5'!$A$1:$AN$21,19,FALSE)</f>
        <v>0.98740604347694028</v>
      </c>
      <c r="G15">
        <f>VLOOKUP($A15,'Case-6'!$A$1:$AN$21,19,FALSE)</f>
        <v>0.9859508082025451</v>
      </c>
    </row>
    <row r="16" spans="1:7">
      <c r="A16" s="2">
        <v>90</v>
      </c>
      <c r="B16">
        <f>VLOOKUP($A16,'Case-1'!$A$1:$AN$21,19,FALSE)</f>
        <v>0.98744292196665806</v>
      </c>
      <c r="C16">
        <f>VLOOKUP($A16,'Case-2'!$A$1:$AN$21,19,FALSE)</f>
        <v>0.991900437490426</v>
      </c>
      <c r="D16">
        <f>VLOOKUP($A16,'Case-3'!$A$1:$AN$21,19,FALSE)</f>
        <v>0.98873806718227331</v>
      </c>
      <c r="E16">
        <f>VLOOKUP($A16,'Case-4'!$A$1:$AN$21,19,FALSE)</f>
        <v>0.98904402375712708</v>
      </c>
      <c r="F16">
        <f>VLOOKUP($A16,'Case-5'!$A$1:$AN$21,19,FALSE)</f>
        <v>0.98809507786042738</v>
      </c>
      <c r="G16">
        <f>VLOOKUP($A16,'Case-6'!$A$1:$AN$21,19,FALSE)</f>
        <v>0.98907407081031473</v>
      </c>
    </row>
    <row r="17" spans="1:7">
      <c r="A17" s="3">
        <v>96</v>
      </c>
      <c r="B17">
        <f>VLOOKUP($A17,'Case-1'!$A$1:$AN$21,19,FALSE)</f>
        <v>0.98876785578019899</v>
      </c>
      <c r="C17">
        <f>VLOOKUP($A17,'Case-2'!$A$1:$AN$21,19,FALSE)</f>
        <v>0.98900376381600186</v>
      </c>
      <c r="D17">
        <f>VLOOKUP($A17,'Case-3'!$A$1:$AN$21,19,FALSE)</f>
        <v>0.98726198880033134</v>
      </c>
      <c r="E17">
        <f>VLOOKUP($A17,'Case-4'!$A$1:$AN$21,19,FALSE)</f>
        <v>0.98791372156503254</v>
      </c>
      <c r="F17">
        <f>VLOOKUP($A17,'Case-5'!$A$1:$AN$21,19,FALSE)</f>
        <v>0.9856145657008788</v>
      </c>
      <c r="G17">
        <f>VLOOKUP($A17,'Case-6'!$A$1:$AN$21,19,FALSE)</f>
        <v>0.98654991395484903</v>
      </c>
    </row>
    <row r="18" spans="1:7">
      <c r="A18" s="2">
        <v>102</v>
      </c>
      <c r="B18">
        <f>VLOOKUP($A18,'Case-1'!$A$1:$AN$21,19,FALSE)</f>
        <v>0.99006346117178878</v>
      </c>
      <c r="C18">
        <f>VLOOKUP($A18,'Case-2'!$A$1:$AN$21,19,FALSE)</f>
        <v>0.98831980677557352</v>
      </c>
      <c r="D18">
        <f>VLOOKUP($A18,'Case-3'!$A$1:$AN$21,19,FALSE)</f>
        <v>0.98809209270715292</v>
      </c>
      <c r="E18">
        <f>VLOOKUP($A18,'Case-4'!$A$1:$AN$21,19,FALSE)</f>
        <v>0.98751637234307832</v>
      </c>
      <c r="F18">
        <f>VLOOKUP($A18,'Case-5'!$A$1:$AN$21,19,FALSE)</f>
        <v>0.98771783484669484</v>
      </c>
      <c r="G18">
        <f>VLOOKUP($A18,'Case-6'!$A$1:$AN$21,19,FALSE)</f>
        <v>0.98382279786160831</v>
      </c>
    </row>
    <row r="19" spans="1:7">
      <c r="A19" s="3">
        <v>108</v>
      </c>
      <c r="B19">
        <f>VLOOKUP($A19,'Case-1'!$A$1:$AN$21,19,FALSE)</f>
        <v>0.98819512220407901</v>
      </c>
      <c r="C19">
        <f>VLOOKUP($A19,'Case-2'!$A$1:$AN$21,19,FALSE)</f>
        <v>0.98567643048523945</v>
      </c>
      <c r="D19">
        <f>VLOOKUP($A19,'Case-3'!$A$1:$AN$21,19,FALSE)</f>
        <v>0.98915430928539083</v>
      </c>
      <c r="E19">
        <f>VLOOKUP($A19,'Case-4'!$A$1:$AN$21,19,FALSE)</f>
        <v>0.98855269901428133</v>
      </c>
      <c r="F19">
        <f>VLOOKUP($A19,'Case-5'!$A$1:$AN$21,19,FALSE)</f>
        <v>0.98954114303748286</v>
      </c>
      <c r="G19">
        <f>VLOOKUP($A19,'Case-6'!$A$1:$AN$21,19,FALSE)</f>
        <v>0.98699800441303742</v>
      </c>
    </row>
    <row r="20" spans="1:7">
      <c r="A20" s="2">
        <v>114</v>
      </c>
      <c r="B20">
        <f>VLOOKUP($A20,'Case-1'!$A$1:$AN$21,19,FALSE)</f>
        <v>0.98580079680583421</v>
      </c>
      <c r="C20">
        <f>VLOOKUP($A20,'Case-2'!$A$1:$AN$21,19,FALSE)</f>
        <v>0.98832005895950514</v>
      </c>
      <c r="D20">
        <f>VLOOKUP($A20,'Case-3'!$A$1:$AN$21,19,FALSE)</f>
        <v>0.98801065073828231</v>
      </c>
      <c r="E20">
        <f>VLOOKUP($A20,'Case-4'!$A$1:$AN$21,19,FALSE)</f>
        <v>0.98830671516250534</v>
      </c>
      <c r="F20">
        <f>VLOOKUP($A20,'Case-5'!$A$1:$AN$21,19,FALSE)</f>
        <v>0.98543505972174883</v>
      </c>
      <c r="G20">
        <f>VLOOKUP($A20,'Case-6'!$A$1:$AN$21,19,FALSE)</f>
        <v>0.98486229310081563</v>
      </c>
    </row>
    <row r="21" spans="1:7">
      <c r="A21" s="3">
        <v>120</v>
      </c>
      <c r="B21">
        <f>VLOOKUP($A21,'Case-1'!$A$1:$AN$21,19,FALSE)</f>
        <v>0.98633152985755079</v>
      </c>
      <c r="C21">
        <f>VLOOKUP($A21,'Case-2'!$A$1:$AN$21,19,FALSE)</f>
        <v>0.98833669686868308</v>
      </c>
      <c r="D21">
        <f>VLOOKUP($A21,'Case-3'!$A$1:$AN$21,19,FALSE)</f>
        <v>0.98633055418960924</v>
      </c>
      <c r="E21">
        <f>VLOOKUP($A21,'Case-4'!$A$1:$AN$21,19,FALSE)</f>
        <v>0.98827625795767604</v>
      </c>
      <c r="F21">
        <f>VLOOKUP($A21,'Case-5'!$A$1:$AN$21,19,FALSE)</f>
        <v>0.98557494325315742</v>
      </c>
      <c r="G21">
        <f>VLOOKUP($A21,'Case-6'!$A$1:$AN$21,19,FALSE)</f>
        <v>0.98563418224628496</v>
      </c>
    </row>
    <row r="22" spans="1:7">
      <c r="B22">
        <f>AVERAGE(B2:B21)</f>
        <v>0.99390291223188443</v>
      </c>
      <c r="C22">
        <f t="shared" ref="C22:G22" si="0">AVERAGE(C2:C21)</f>
        <v>0.99411281463097834</v>
      </c>
      <c r="D22">
        <f t="shared" si="0"/>
        <v>0.99373632495964137</v>
      </c>
      <c r="E22">
        <f t="shared" si="0"/>
        <v>0.99370452869016612</v>
      </c>
      <c r="F22">
        <f t="shared" si="0"/>
        <v>0.99301812657136479</v>
      </c>
      <c r="G22">
        <f t="shared" si="0"/>
        <v>0.99220753550667717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0309-0F9B-49A0-B24B-569120CCE0A3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VLOOKUP($A2,'Case-1'!$A$1:$AN$21,20,FALSE)</f>
        <v>1</v>
      </c>
      <c r="C2">
        <f>VLOOKUP($A2,'Case-2'!$A$1:$AN$21,20,FALSE)</f>
        <v>1</v>
      </c>
      <c r="D2">
        <f>VLOOKUP($A2,'Case-3'!$A$1:$AN$21,20,FALSE)</f>
        <v>0.92966666666666675</v>
      </c>
      <c r="E2">
        <f>VLOOKUP($A2,'Case-4'!$A$1:$AN$21,20,FALSE)</f>
        <v>0.83333333333333359</v>
      </c>
      <c r="F2">
        <f>VLOOKUP($A2,'Case-5'!$A$1:$AN$21,20,FALSE)</f>
        <v>0.93766666666666676</v>
      </c>
      <c r="G2">
        <f>VLOOKUP($A2,'Case-6'!$A$1:$AN$21,20,FALSE)</f>
        <v>0.80000000000000016</v>
      </c>
    </row>
    <row r="3" spans="1:7">
      <c r="A3" s="3">
        <v>12</v>
      </c>
      <c r="B3">
        <f>VLOOKUP($A3,'Case-1'!$A$1:$AN$21,20,FALSE)</f>
        <v>1</v>
      </c>
      <c r="C3">
        <f>VLOOKUP($A3,'Case-2'!$A$1:$AN$21,20,FALSE)</f>
        <v>0.98111111111111116</v>
      </c>
      <c r="D3">
        <f>VLOOKUP($A3,'Case-3'!$A$1:$AN$21,20,FALSE)</f>
        <v>0.88323232323232315</v>
      </c>
      <c r="E3">
        <f>VLOOKUP($A3,'Case-4'!$A$1:$AN$21,20,FALSE)</f>
        <v>0.84020512820512849</v>
      </c>
      <c r="F3">
        <f>VLOOKUP($A3,'Case-5'!$A$1:$AN$21,20,FALSE)</f>
        <v>0.8125</v>
      </c>
      <c r="G3">
        <f>VLOOKUP($A3,'Case-6'!$A$1:$AN$21,20,FALSE)</f>
        <v>0.80000000000000016</v>
      </c>
    </row>
    <row r="4" spans="1:7">
      <c r="A4" s="2">
        <v>18</v>
      </c>
      <c r="B4">
        <f>VLOOKUP($A4,'Case-1'!$A$1:$AN$21,20,FALSE)</f>
        <v>1</v>
      </c>
      <c r="C4">
        <f>VLOOKUP($A4,'Case-2'!$A$1:$AN$21,20,FALSE)</f>
        <v>0.97031961094461094</v>
      </c>
      <c r="D4">
        <f>VLOOKUP($A4,'Case-3'!$A$1:$AN$21,20,FALSE)</f>
        <v>0.88089593413122835</v>
      </c>
      <c r="E4">
        <f>VLOOKUP($A4,'Case-4'!$A$1:$AN$21,20,FALSE)</f>
        <v>0.84644422320623691</v>
      </c>
      <c r="F4">
        <f>VLOOKUP($A4,'Case-5'!$A$1:$AN$21,20,FALSE)</f>
        <v>0.82494545454545465</v>
      </c>
      <c r="G4">
        <f>VLOOKUP($A4,'Case-6'!$A$1:$AN$21,20,FALSE)</f>
        <v>0.80569230769230793</v>
      </c>
    </row>
    <row r="5" spans="1:7">
      <c r="A5" s="3">
        <v>24</v>
      </c>
      <c r="B5">
        <f>VLOOKUP($A5,'Case-1'!$A$1:$AN$21,20,FALSE)</f>
        <v>1</v>
      </c>
      <c r="C5">
        <f>VLOOKUP($A5,'Case-2'!$A$1:$AN$21,20,FALSE)</f>
        <v>0.96393878578832815</v>
      </c>
      <c r="D5">
        <f>VLOOKUP($A5,'Case-3'!$A$1:$AN$21,20,FALSE)</f>
        <v>0.87977123528421142</v>
      </c>
      <c r="E5">
        <f>VLOOKUP($A5,'Case-4'!$A$1:$AN$21,20,FALSE)</f>
        <v>0.84929988772402554</v>
      </c>
      <c r="F5">
        <f>VLOOKUP($A5,'Case-5'!$A$1:$AN$21,20,FALSE)</f>
        <v>0.82154802052785925</v>
      </c>
      <c r="G5">
        <f>VLOOKUP($A5,'Case-6'!$A$1:$AN$21,20,FALSE)</f>
        <v>0.80349999999999999</v>
      </c>
    </row>
    <row r="6" spans="1:7">
      <c r="A6" s="2">
        <v>30</v>
      </c>
      <c r="B6">
        <f>VLOOKUP($A6,'Case-1'!$A$1:$AN$21,20,FALSE)</f>
        <v>1</v>
      </c>
      <c r="C6">
        <f>VLOOKUP($A6,'Case-2'!$A$1:$AN$21,20,FALSE)</f>
        <v>0.96591239161968734</v>
      </c>
      <c r="D6">
        <f>VLOOKUP($A6,'Case-3'!$A$1:$AN$21,20,FALSE)</f>
        <v>0.88636392220815063</v>
      </c>
      <c r="E6">
        <f>VLOOKUP($A6,'Case-4'!$A$1:$AN$21,20,FALSE)</f>
        <v>0.84934286038023765</v>
      </c>
      <c r="F6">
        <f>VLOOKUP($A6,'Case-5'!$A$1:$AN$21,20,FALSE)</f>
        <v>0.82548495752328233</v>
      </c>
      <c r="G6">
        <f>VLOOKUP($A6,'Case-6'!$A$1:$AN$21,20,FALSE)</f>
        <v>0.80878467908902707</v>
      </c>
    </row>
    <row r="7" spans="1:7">
      <c r="A7" s="3">
        <v>36</v>
      </c>
      <c r="B7">
        <f>VLOOKUP($A7,'Case-1'!$A$1:$AN$21,20,FALSE)</f>
        <v>0.9991444444444445</v>
      </c>
      <c r="C7">
        <f>VLOOKUP($A7,'Case-2'!$A$1:$AN$21,20,FALSE)</f>
        <v>0.96627318575876109</v>
      </c>
      <c r="D7">
        <f>VLOOKUP($A7,'Case-3'!$A$1:$AN$21,20,FALSE)</f>
        <v>0.88115132270022345</v>
      </c>
      <c r="E7">
        <f>VLOOKUP($A7,'Case-4'!$A$1:$AN$21,20,FALSE)</f>
        <v>0.84616562090458047</v>
      </c>
      <c r="F7">
        <f>VLOOKUP($A7,'Case-5'!$A$1:$AN$21,20,FALSE)</f>
        <v>0.8231476517573294</v>
      </c>
      <c r="G7">
        <f>VLOOKUP($A7,'Case-6'!$A$1:$AN$21,20,FALSE)</f>
        <v>0.80768856143856171</v>
      </c>
    </row>
    <row r="8" spans="1:7">
      <c r="A8" s="2">
        <v>42</v>
      </c>
      <c r="B8">
        <f>VLOOKUP($A8,'Case-1'!$A$1:$AN$21,20,FALSE)</f>
        <v>0.99818261607673375</v>
      </c>
      <c r="C8">
        <f>VLOOKUP($A8,'Case-2'!$A$1:$AN$21,20,FALSE)</f>
        <v>0.95996394700619492</v>
      </c>
      <c r="D8">
        <f>VLOOKUP($A8,'Case-3'!$A$1:$AN$21,20,FALSE)</f>
        <v>0.88745640630552713</v>
      </c>
      <c r="E8">
        <f>VLOOKUP($A8,'Case-4'!$A$1:$AN$21,20,FALSE)</f>
        <v>0.84794499475819451</v>
      </c>
      <c r="F8">
        <f>VLOOKUP($A8,'Case-5'!$A$1:$AN$21,20,FALSE)</f>
        <v>0.82414728379384106</v>
      </c>
      <c r="G8">
        <f>VLOOKUP($A8,'Case-6'!$A$1:$AN$21,20,FALSE)</f>
        <v>0.80464133715746622</v>
      </c>
    </row>
    <row r="9" spans="1:7">
      <c r="A9" s="3">
        <v>48</v>
      </c>
      <c r="B9">
        <f>VLOOKUP($A9,'Case-1'!$A$1:$AN$21,20,FALSE)</f>
        <v>0.99710939014689015</v>
      </c>
      <c r="C9">
        <f>VLOOKUP($A9,'Case-2'!$A$1:$AN$21,20,FALSE)</f>
        <v>0.96188611382303224</v>
      </c>
      <c r="D9">
        <f>VLOOKUP($A9,'Case-3'!$A$1:$AN$21,20,FALSE)</f>
        <v>0.8870170708727283</v>
      </c>
      <c r="E9">
        <f>VLOOKUP($A9,'Case-4'!$A$1:$AN$21,20,FALSE)</f>
        <v>0.84957314340313894</v>
      </c>
      <c r="F9">
        <f>VLOOKUP($A9,'Case-5'!$A$1:$AN$21,20,FALSE)</f>
        <v>0.82384842547211867</v>
      </c>
      <c r="G9">
        <f>VLOOKUP($A9,'Case-6'!$A$1:$AN$21,20,FALSE)</f>
        <v>0.80638319681295145</v>
      </c>
    </row>
    <row r="10" spans="1:7">
      <c r="A10" s="2">
        <v>54</v>
      </c>
      <c r="B10">
        <f>VLOOKUP($A10,'Case-1'!$A$1:$AN$21,20,FALSE)</f>
        <v>0.99799663092661817</v>
      </c>
      <c r="C10">
        <f>VLOOKUP($A10,'Case-2'!$A$1:$AN$21,20,FALSE)</f>
        <v>0.9627688591121516</v>
      </c>
      <c r="D10">
        <f>VLOOKUP($A10,'Case-3'!$A$1:$AN$21,20,FALSE)</f>
        <v>0.87816194812264747</v>
      </c>
      <c r="E10">
        <f>VLOOKUP($A10,'Case-4'!$A$1:$AN$21,20,FALSE)</f>
        <v>0.84636184330747199</v>
      </c>
      <c r="F10">
        <f>VLOOKUP($A10,'Case-5'!$A$1:$AN$21,20,FALSE)</f>
        <v>0.82014223168427247</v>
      </c>
      <c r="G10">
        <f>VLOOKUP($A10,'Case-6'!$A$1:$AN$21,20,FALSE)</f>
        <v>0.80305570593347508</v>
      </c>
    </row>
    <row r="11" spans="1:7">
      <c r="A11" s="3">
        <v>60</v>
      </c>
      <c r="B11">
        <f>VLOOKUP($A11,'Case-1'!$A$1:$AN$21,20,FALSE)</f>
        <v>0.99588231866100108</v>
      </c>
      <c r="C11">
        <f>VLOOKUP($A11,'Case-2'!$A$1:$AN$21,20,FALSE)</f>
        <v>0.95432997252785023</v>
      </c>
      <c r="D11">
        <f>VLOOKUP($A11,'Case-3'!$A$1:$AN$21,20,FALSE)</f>
        <v>0.88376739540805815</v>
      </c>
      <c r="E11">
        <f>VLOOKUP($A11,'Case-4'!$A$1:$AN$21,20,FALSE)</f>
        <v>0.84766747723483227</v>
      </c>
      <c r="F11">
        <f>VLOOKUP($A11,'Case-5'!$A$1:$AN$21,20,FALSE)</f>
        <v>0.81870039374038228</v>
      </c>
      <c r="G11">
        <f>VLOOKUP($A11,'Case-6'!$A$1:$AN$21,20,FALSE)</f>
        <v>0.80233972737817461</v>
      </c>
    </row>
    <row r="12" spans="1:7">
      <c r="A12" s="2">
        <v>66</v>
      </c>
      <c r="B12">
        <f>VLOOKUP($A12,'Case-1'!$A$1:$AN$21,20,FALSE)</f>
        <v>0.99107409397802526</v>
      </c>
      <c r="C12">
        <f>VLOOKUP($A12,'Case-2'!$A$1:$AN$21,20,FALSE)</f>
        <v>0.95368207734966326</v>
      </c>
      <c r="D12">
        <f>VLOOKUP($A12,'Case-3'!$A$1:$AN$21,20,FALSE)</f>
        <v>0.87847939045590973</v>
      </c>
      <c r="E12">
        <f>VLOOKUP($A12,'Case-4'!$A$1:$AN$21,20,FALSE)</f>
        <v>0.84226926327952001</v>
      </c>
      <c r="F12">
        <f>VLOOKUP($A12,'Case-5'!$A$1:$AN$21,20,FALSE)</f>
        <v>0.81984653304498856</v>
      </c>
      <c r="G12">
        <f>VLOOKUP($A12,'Case-6'!$A$1:$AN$21,20,FALSE)</f>
        <v>0.80063518286241164</v>
      </c>
    </row>
    <row r="13" spans="1:7">
      <c r="A13" s="3">
        <v>72</v>
      </c>
      <c r="B13">
        <f>VLOOKUP($A13,'Case-1'!$A$1:$AN$21,20,FALSE)</f>
        <v>0.9928509855087998</v>
      </c>
      <c r="C13">
        <f>VLOOKUP($A13,'Case-2'!$A$1:$AN$21,20,FALSE)</f>
        <v>0.9510766342426068</v>
      </c>
      <c r="D13">
        <f>VLOOKUP($A13,'Case-3'!$A$1:$AN$21,20,FALSE)</f>
        <v>0.87850557124125006</v>
      </c>
      <c r="E13">
        <f>VLOOKUP($A13,'Case-4'!$A$1:$AN$21,20,FALSE)</f>
        <v>0.84133288885957414</v>
      </c>
      <c r="F13">
        <f>VLOOKUP($A13,'Case-5'!$A$1:$AN$21,20,FALSE)</f>
        <v>0.81772029827250359</v>
      </c>
      <c r="G13">
        <f>VLOOKUP($A13,'Case-6'!$A$1:$AN$21,20,FALSE)</f>
        <v>0.79986692740704091</v>
      </c>
    </row>
    <row r="14" spans="1:7">
      <c r="A14" s="2">
        <v>78</v>
      </c>
      <c r="B14">
        <f>VLOOKUP($A14,'Case-1'!$A$1:$AN$21,20,FALSE)</f>
        <v>0.99461209750475554</v>
      </c>
      <c r="C14">
        <f>VLOOKUP($A14,'Case-2'!$A$1:$AN$21,20,FALSE)</f>
        <v>0.95750218654641828</v>
      </c>
      <c r="D14">
        <f>VLOOKUP($A14,'Case-3'!$A$1:$AN$21,20,FALSE)</f>
        <v>0.87931954043865224</v>
      </c>
      <c r="E14">
        <f>VLOOKUP($A14,'Case-4'!$A$1:$AN$21,20,FALSE)</f>
        <v>0.84113937968121755</v>
      </c>
      <c r="F14">
        <f>VLOOKUP($A14,'Case-5'!$A$1:$AN$21,20,FALSE)</f>
        <v>0.8177372951337919</v>
      </c>
      <c r="G14">
        <f>VLOOKUP($A14,'Case-6'!$A$1:$AN$21,20,FALSE)</f>
        <v>0.80073293304250115</v>
      </c>
    </row>
    <row r="15" spans="1:7">
      <c r="A15" s="3">
        <v>84</v>
      </c>
      <c r="B15">
        <f>VLOOKUP($A15,'Case-1'!$A$1:$AN$21,20,FALSE)</f>
        <v>0.99126050000121524</v>
      </c>
      <c r="C15">
        <f>VLOOKUP($A15,'Case-2'!$A$1:$AN$21,20,FALSE)</f>
        <v>0.94699049117381706</v>
      </c>
      <c r="D15">
        <f>VLOOKUP($A15,'Case-3'!$A$1:$AN$21,20,FALSE)</f>
        <v>0.8783467646116222</v>
      </c>
      <c r="E15">
        <f>VLOOKUP($A15,'Case-4'!$A$1:$AN$21,20,FALSE)</f>
        <v>0.84417021201515963</v>
      </c>
      <c r="F15">
        <f>VLOOKUP($A15,'Case-5'!$A$1:$AN$21,20,FALSE)</f>
        <v>0.81611906114003496</v>
      </c>
      <c r="G15">
        <f>VLOOKUP($A15,'Case-6'!$A$1:$AN$21,20,FALSE)</f>
        <v>0.79878630068391143</v>
      </c>
    </row>
    <row r="16" spans="1:7">
      <c r="A16" s="2">
        <v>90</v>
      </c>
      <c r="B16">
        <f>VLOOKUP($A16,'Case-1'!$A$1:$AN$21,20,FALSE)</f>
        <v>0.98909901094179908</v>
      </c>
      <c r="C16">
        <f>VLOOKUP($A16,'Case-2'!$A$1:$AN$21,20,FALSE)</f>
        <v>0.95382245531833521</v>
      </c>
      <c r="D16">
        <f>VLOOKUP($A16,'Case-3'!$A$1:$AN$21,20,FALSE)</f>
        <v>0.88087934734443385</v>
      </c>
      <c r="E16">
        <f>VLOOKUP($A16,'Case-4'!$A$1:$AN$21,20,FALSE)</f>
        <v>0.84315990180253719</v>
      </c>
      <c r="F16">
        <f>VLOOKUP($A16,'Case-5'!$A$1:$AN$21,20,FALSE)</f>
        <v>0.81663486827854526</v>
      </c>
      <c r="G16">
        <f>VLOOKUP($A16,'Case-6'!$A$1:$AN$21,20,FALSE)</f>
        <v>0.80170209530280701</v>
      </c>
    </row>
    <row r="17" spans="1:7">
      <c r="A17" s="3">
        <v>96</v>
      </c>
      <c r="B17">
        <f>VLOOKUP($A17,'Case-1'!$A$1:$AN$21,20,FALSE)</f>
        <v>0.99048506054431096</v>
      </c>
      <c r="C17">
        <f>VLOOKUP($A17,'Case-2'!$A$1:$AN$21,20,FALSE)</f>
        <v>0.94911507276523677</v>
      </c>
      <c r="D17">
        <f>VLOOKUP($A17,'Case-3'!$A$1:$AN$21,20,FALSE)</f>
        <v>0.87448473343269384</v>
      </c>
      <c r="E17">
        <f>VLOOKUP($A17,'Case-4'!$A$1:$AN$21,20,FALSE)</f>
        <v>0.8423336390751982</v>
      </c>
      <c r="F17">
        <f>VLOOKUP($A17,'Case-5'!$A$1:$AN$21,20,FALSE)</f>
        <v>0.81568411917286865</v>
      </c>
      <c r="G17">
        <f>VLOOKUP($A17,'Case-6'!$A$1:$AN$21,20,FALSE)</f>
        <v>0.7988983796556044</v>
      </c>
    </row>
    <row r="18" spans="1:7">
      <c r="A18" s="2">
        <v>102</v>
      </c>
      <c r="B18">
        <f>VLOOKUP($A18,'Case-1'!$A$1:$AN$21,20,FALSE)</f>
        <v>0.99162215948700139</v>
      </c>
      <c r="C18">
        <f>VLOOKUP($A18,'Case-2'!$A$1:$AN$21,20,FALSE)</f>
        <v>0.94867594750007644</v>
      </c>
      <c r="D18">
        <f>VLOOKUP($A18,'Case-3'!$A$1:$AN$21,20,FALSE)</f>
        <v>0.87834390942365392</v>
      </c>
      <c r="E18">
        <f>VLOOKUP($A18,'Case-4'!$A$1:$AN$21,20,FALSE)</f>
        <v>0.84064142493362359</v>
      </c>
      <c r="F18">
        <f>VLOOKUP($A18,'Case-5'!$A$1:$AN$21,20,FALSE)</f>
        <v>0.81640554185633796</v>
      </c>
      <c r="G18">
        <f>VLOOKUP($A18,'Case-6'!$A$1:$AN$21,20,FALSE)</f>
        <v>0.79710927738315707</v>
      </c>
    </row>
    <row r="19" spans="1:7">
      <c r="A19" s="3">
        <v>108</v>
      </c>
      <c r="B19">
        <f>VLOOKUP($A19,'Case-1'!$A$1:$AN$21,20,FALSE)</f>
        <v>0.98974103363644605</v>
      </c>
      <c r="C19">
        <f>VLOOKUP($A19,'Case-2'!$A$1:$AN$21,20,FALSE)</f>
        <v>0.94758568813535404</v>
      </c>
      <c r="D19">
        <f>VLOOKUP($A19,'Case-3'!$A$1:$AN$21,20,FALSE)</f>
        <v>0.87883335888200365</v>
      </c>
      <c r="E19">
        <f>VLOOKUP($A19,'Case-4'!$A$1:$AN$21,20,FALSE)</f>
        <v>0.84226385262738535</v>
      </c>
      <c r="F19">
        <f>VLOOKUP($A19,'Case-5'!$A$1:$AN$21,20,FALSE)</f>
        <v>0.81855927024676589</v>
      </c>
      <c r="G19">
        <f>VLOOKUP($A19,'Case-6'!$A$1:$AN$21,20,FALSE)</f>
        <v>0.80078023947543953</v>
      </c>
    </row>
    <row r="20" spans="1:7">
      <c r="A20" s="2">
        <v>114</v>
      </c>
      <c r="B20">
        <f>VLOOKUP($A20,'Case-1'!$A$1:$AN$21,20,FALSE)</f>
        <v>0.98786227087927314</v>
      </c>
      <c r="C20">
        <f>VLOOKUP($A20,'Case-2'!$A$1:$AN$21,20,FALSE)</f>
        <v>0.9521904964210266</v>
      </c>
      <c r="D20">
        <f>VLOOKUP($A20,'Case-3'!$A$1:$AN$21,20,FALSE)</f>
        <v>0.87546108730972372</v>
      </c>
      <c r="E20">
        <f>VLOOKUP($A20,'Case-4'!$A$1:$AN$21,20,FALSE)</f>
        <v>0.84115852012425807</v>
      </c>
      <c r="F20">
        <f>VLOOKUP($A20,'Case-5'!$A$1:$AN$21,20,FALSE)</f>
        <v>0.81481798698740038</v>
      </c>
      <c r="G20">
        <f>VLOOKUP($A20,'Case-6'!$A$1:$AN$21,20,FALSE)</f>
        <v>0.79851619935808016</v>
      </c>
    </row>
    <row r="21" spans="1:7">
      <c r="A21" s="3">
        <v>120</v>
      </c>
      <c r="B21">
        <f>VLOOKUP($A21,'Case-1'!$A$1:$AN$21,20,FALSE)</f>
        <v>0.98869409928044094</v>
      </c>
      <c r="C21">
        <f>VLOOKUP($A21,'Case-2'!$A$1:$AN$21,20,FALSE)</f>
        <v>0.94448085941037463</v>
      </c>
      <c r="D21">
        <f>VLOOKUP($A21,'Case-3'!$A$1:$AN$21,20,FALSE)</f>
        <v>0.87531021596609937</v>
      </c>
      <c r="E21">
        <f>VLOOKUP($A21,'Case-4'!$A$1:$AN$21,20,FALSE)</f>
        <v>0.84104517363930831</v>
      </c>
      <c r="F21">
        <f>VLOOKUP($A21,'Case-5'!$A$1:$AN$21,20,FALSE)</f>
        <v>0.817183874571629</v>
      </c>
      <c r="G21">
        <f>VLOOKUP($A21,'Case-6'!$A$1:$AN$21,20,FALSE)</f>
        <v>0.79856329044862484</v>
      </c>
    </row>
    <row r="22" spans="1:7">
      <c r="B22">
        <f>AVERAGE(B2:B21)</f>
        <v>0.99478083560088781</v>
      </c>
      <c r="C22">
        <f t="shared" ref="C22:G22" si="0">AVERAGE(C2:C21)</f>
        <v>0.95958129432773198</v>
      </c>
      <c r="D22">
        <f t="shared" si="0"/>
        <v>0.88277240720189043</v>
      </c>
      <c r="E22">
        <f t="shared" si="0"/>
        <v>0.84379263842474805</v>
      </c>
      <c r="F22">
        <f t="shared" si="0"/>
        <v>0.82514199672080346</v>
      </c>
      <c r="G22">
        <f t="shared" si="0"/>
        <v>0.80188381705607714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7AA5-ED30-455C-B94D-29EAC025AE58}">
  <dimension ref="A1:G22"/>
  <sheetViews>
    <sheetView workbookViewId="0">
      <selection activeCell="E24" sqref="E24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VLOOKUP($A2,'Case-1'!$A$1:$AN$21,21,FALSE)</f>
        <v>1</v>
      </c>
      <c r="C2">
        <f>VLOOKUP($A2,'Case-2'!$A$1:$AN$21,21,FALSE)</f>
        <v>1</v>
      </c>
      <c r="D2">
        <f>VLOOKUP($A2,'Case-3'!$A$1:$AN$21,21,FALSE)</f>
        <v>1</v>
      </c>
      <c r="E2">
        <f>VLOOKUP($A2,'Case-4'!$A$1:$AN$21,21,FALSE)</f>
        <v>1</v>
      </c>
      <c r="F2">
        <f>VLOOKUP($A2,'Case-5'!$A$1:$AN$21,21,FALSE)</f>
        <v>1</v>
      </c>
      <c r="G2">
        <f>VLOOKUP($A2,'Case-6'!$A$1:$AN$21,21,FALSE)</f>
        <v>1</v>
      </c>
    </row>
    <row r="3" spans="1:7">
      <c r="A3" s="3">
        <v>12</v>
      </c>
      <c r="B3">
        <f>VLOOKUP($A3,'Case-1'!$A$1:$AN$21,21,FALSE)</f>
        <v>1</v>
      </c>
      <c r="C3">
        <f>VLOOKUP($A3,'Case-2'!$A$1:$AN$21,21,FALSE)</f>
        <v>1</v>
      </c>
      <c r="D3">
        <f>VLOOKUP($A3,'Case-3'!$A$1:$AN$21,21,FALSE)</f>
        <v>1</v>
      </c>
      <c r="E3">
        <f>VLOOKUP($A3,'Case-4'!$A$1:$AN$21,21,FALSE)</f>
        <v>1</v>
      </c>
      <c r="F3">
        <f>VLOOKUP($A3,'Case-5'!$A$1:$AN$21,21,FALSE)</f>
        <v>1</v>
      </c>
      <c r="G3">
        <f>VLOOKUP($A3,'Case-6'!$A$1:$AN$21,21,FALSE)</f>
        <v>1</v>
      </c>
    </row>
    <row r="4" spans="1:7">
      <c r="A4" s="2">
        <v>18</v>
      </c>
      <c r="B4">
        <f>VLOOKUP($A4,'Case-1'!$A$1:$AN$21,21,FALSE)</f>
        <v>1</v>
      </c>
      <c r="C4">
        <f>VLOOKUP($A4,'Case-2'!$A$1:$AN$21,21,FALSE)</f>
        <v>1</v>
      </c>
      <c r="D4">
        <f>VLOOKUP($A4,'Case-3'!$A$1:$AN$21,21,FALSE)</f>
        <v>1</v>
      </c>
      <c r="E4">
        <f>VLOOKUP($A4,'Case-4'!$A$1:$AN$21,21,FALSE)</f>
        <v>1</v>
      </c>
      <c r="F4">
        <f>VLOOKUP($A4,'Case-5'!$A$1:$AN$21,21,FALSE)</f>
        <v>1</v>
      </c>
      <c r="G4">
        <f>VLOOKUP($A4,'Case-6'!$A$1:$AN$21,21,FALSE)</f>
        <v>1</v>
      </c>
    </row>
    <row r="5" spans="1:7">
      <c r="A5" s="3">
        <v>24</v>
      </c>
      <c r="B5">
        <f>VLOOKUP($A5,'Case-1'!$A$1:$AN$21,21,FALSE)</f>
        <v>1</v>
      </c>
      <c r="C5">
        <f>VLOOKUP($A5,'Case-2'!$A$1:$AN$21,21,FALSE)</f>
        <v>1</v>
      </c>
      <c r="D5">
        <f>VLOOKUP($A5,'Case-3'!$A$1:$AN$21,21,FALSE)</f>
        <v>1</v>
      </c>
      <c r="E5">
        <f>VLOOKUP($A5,'Case-4'!$A$1:$AN$21,21,FALSE)</f>
        <v>1</v>
      </c>
      <c r="F5">
        <f>VLOOKUP($A5,'Case-5'!$A$1:$AN$21,21,FALSE)</f>
        <v>1</v>
      </c>
      <c r="G5">
        <f>VLOOKUP($A5,'Case-6'!$A$1:$AN$21,21,FALSE)</f>
        <v>1</v>
      </c>
    </row>
    <row r="6" spans="1:7">
      <c r="A6" s="2">
        <v>30</v>
      </c>
      <c r="B6">
        <f>VLOOKUP($A6,'Case-1'!$A$1:$AN$21,21,FALSE)</f>
        <v>1</v>
      </c>
      <c r="C6">
        <f>VLOOKUP($A6,'Case-2'!$A$1:$AN$21,21,FALSE)</f>
        <v>1</v>
      </c>
      <c r="D6">
        <f>VLOOKUP($A6,'Case-3'!$A$1:$AN$21,21,FALSE)</f>
        <v>1</v>
      </c>
      <c r="E6">
        <f>VLOOKUP($A6,'Case-4'!$A$1:$AN$21,21,FALSE)</f>
        <v>1</v>
      </c>
      <c r="F6">
        <f>VLOOKUP($A6,'Case-5'!$A$1:$AN$21,21,FALSE)</f>
        <v>1</v>
      </c>
      <c r="G6">
        <f>VLOOKUP($A6,'Case-6'!$A$1:$AN$21,21,FALSE)</f>
        <v>1</v>
      </c>
    </row>
    <row r="7" spans="1:7">
      <c r="A7" s="3">
        <v>36</v>
      </c>
      <c r="B7">
        <f>VLOOKUP($A7,'Case-1'!$A$1:$AN$21,21,FALSE)</f>
        <v>0.9991444444444445</v>
      </c>
      <c r="C7">
        <f>VLOOKUP($A7,'Case-2'!$A$1:$AN$21,21,FALSE)</f>
        <v>0.9976729323308271</v>
      </c>
      <c r="D7">
        <f>VLOOKUP($A7,'Case-3'!$A$1:$AN$21,21,FALSE)</f>
        <v>0.99962962962962953</v>
      </c>
      <c r="E7">
        <f>VLOOKUP($A7,'Case-4'!$A$1:$AN$21,21,FALSE)</f>
        <v>1</v>
      </c>
      <c r="F7">
        <f>VLOOKUP($A7,'Case-5'!$A$1:$AN$21,21,FALSE)</f>
        <v>0.99945945945945946</v>
      </c>
      <c r="G7">
        <f>VLOOKUP($A7,'Case-6'!$A$1:$AN$21,21,FALSE)</f>
        <v>1</v>
      </c>
    </row>
    <row r="8" spans="1:7">
      <c r="A8" s="2">
        <v>42</v>
      </c>
      <c r="B8">
        <f>VLOOKUP($A8,'Case-1'!$A$1:$AN$21,21,FALSE)</f>
        <v>0.99818261607673375</v>
      </c>
      <c r="C8">
        <f>VLOOKUP($A8,'Case-2'!$A$1:$AN$21,21,FALSE)</f>
        <v>0.99979642857142859</v>
      </c>
      <c r="D8">
        <f>VLOOKUP($A8,'Case-3'!$A$1:$AN$21,21,FALSE)</f>
        <v>0.99988684210526313</v>
      </c>
      <c r="E8">
        <f>VLOOKUP($A8,'Case-4'!$A$1:$AN$21,21,FALSE)</f>
        <v>0.99889626373626383</v>
      </c>
      <c r="F8">
        <f>VLOOKUP($A8,'Case-5'!$A$1:$AN$21,21,FALSE)</f>
        <v>0.99829310701724039</v>
      </c>
      <c r="G8">
        <f>VLOOKUP($A8,'Case-6'!$A$1:$AN$21,21,FALSE)</f>
        <v>0.99822308546059935</v>
      </c>
    </row>
    <row r="9" spans="1:7">
      <c r="A9" s="3">
        <v>48</v>
      </c>
      <c r="B9">
        <f>VLOOKUP($A9,'Case-1'!$A$1:$AN$21,21,FALSE)</f>
        <v>0.99710939014689015</v>
      </c>
      <c r="C9">
        <f>VLOOKUP($A9,'Case-2'!$A$1:$AN$21,21,FALSE)</f>
        <v>0.99591906727531732</v>
      </c>
      <c r="D9">
        <f>VLOOKUP($A9,'Case-3'!$A$1:$AN$21,21,FALSE)</f>
        <v>0.99854753811483721</v>
      </c>
      <c r="E9">
        <f>VLOOKUP($A9,'Case-4'!$A$1:$AN$21,21,FALSE)</f>
        <v>0.99849497131337506</v>
      </c>
      <c r="F9">
        <f>VLOOKUP($A9,'Case-5'!$A$1:$AN$21,21,FALSE)</f>
        <v>0.99748563592156114</v>
      </c>
      <c r="G9">
        <f>VLOOKUP($A9,'Case-6'!$A$1:$AN$21,21,FALSE)</f>
        <v>0.99553477819073743</v>
      </c>
    </row>
    <row r="10" spans="1:7">
      <c r="A10" s="2">
        <v>54</v>
      </c>
      <c r="B10">
        <f>VLOOKUP($A10,'Case-1'!$A$1:$AN$21,21,FALSE)</f>
        <v>0.99799663092661817</v>
      </c>
      <c r="C10">
        <f>VLOOKUP($A10,'Case-2'!$A$1:$AN$21,21,FALSE)</f>
        <v>0.99809480027738096</v>
      </c>
      <c r="D10">
        <f>VLOOKUP($A10,'Case-3'!$A$1:$AN$21,21,FALSE)</f>
        <v>0.99330680615507716</v>
      </c>
      <c r="E10">
        <f>VLOOKUP($A10,'Case-4'!$A$1:$AN$21,21,FALSE)</f>
        <v>0.99506797957983695</v>
      </c>
      <c r="F10">
        <f>VLOOKUP($A10,'Case-5'!$A$1:$AN$21,21,FALSE)</f>
        <v>0.99541770239666039</v>
      </c>
      <c r="G10">
        <f>VLOOKUP($A10,'Case-6'!$A$1:$AN$21,21,FALSE)</f>
        <v>0.99273176981645506</v>
      </c>
    </row>
    <row r="11" spans="1:7">
      <c r="A11" s="3">
        <v>60</v>
      </c>
      <c r="B11">
        <f>VLOOKUP($A11,'Case-1'!$A$1:$AN$21,21,FALSE)</f>
        <v>0.99588231866100108</v>
      </c>
      <c r="C11">
        <f>VLOOKUP($A11,'Case-2'!$A$1:$AN$21,21,FALSE)</f>
        <v>0.99538106116341918</v>
      </c>
      <c r="D11">
        <f>VLOOKUP($A11,'Case-3'!$A$1:$AN$21,21,FALSE)</f>
        <v>0.99501393392396154</v>
      </c>
      <c r="E11">
        <f>VLOOKUP($A11,'Case-4'!$A$1:$AN$21,21,FALSE)</f>
        <v>0.99685814463888378</v>
      </c>
      <c r="F11">
        <f>VLOOKUP($A11,'Case-5'!$A$1:$AN$21,21,FALSE)</f>
        <v>0.99286914054119846</v>
      </c>
      <c r="G11">
        <f>VLOOKUP($A11,'Case-6'!$A$1:$AN$21,21,FALSE)</f>
        <v>0.99098273940425974</v>
      </c>
    </row>
    <row r="12" spans="1:7">
      <c r="A12" s="2">
        <v>66</v>
      </c>
      <c r="B12">
        <f>VLOOKUP($A12,'Case-1'!$A$1:$AN$21,21,FALSE)</f>
        <v>0.99107409397802526</v>
      </c>
      <c r="C12">
        <f>VLOOKUP($A12,'Case-2'!$A$1:$AN$21,21,FALSE)</f>
        <v>0.99284582655331399</v>
      </c>
      <c r="D12">
        <f>VLOOKUP($A12,'Case-3'!$A$1:$AN$21,21,FALSE)</f>
        <v>0.99048547725735847</v>
      </c>
      <c r="E12">
        <f>VLOOKUP($A12,'Case-4'!$A$1:$AN$21,21,FALSE)</f>
        <v>0.9895648617546271</v>
      </c>
      <c r="F12">
        <f>VLOOKUP($A12,'Case-5'!$A$1:$AN$21,21,FALSE)</f>
        <v>0.99050049625443204</v>
      </c>
      <c r="G12">
        <f>VLOOKUP($A12,'Case-6'!$A$1:$AN$21,21,FALSE)</f>
        <v>0.98893813488863702</v>
      </c>
    </row>
    <row r="13" spans="1:7">
      <c r="A13" s="3">
        <v>72</v>
      </c>
      <c r="B13">
        <f>VLOOKUP($A13,'Case-1'!$A$1:$AN$21,21,FALSE)</f>
        <v>0.9928509855087998</v>
      </c>
      <c r="C13">
        <f>VLOOKUP($A13,'Case-2'!$A$1:$AN$21,21,FALSE)</f>
        <v>0.99346707161981762</v>
      </c>
      <c r="D13">
        <f>VLOOKUP($A13,'Case-3'!$A$1:$AN$21,21,FALSE)</f>
        <v>0.99322147292155094</v>
      </c>
      <c r="E13">
        <f>VLOOKUP($A13,'Case-4'!$A$1:$AN$21,21,FALSE)</f>
        <v>0.9897769426580153</v>
      </c>
      <c r="F13">
        <f>VLOOKUP($A13,'Case-5'!$A$1:$AN$21,21,FALSE)</f>
        <v>0.98982428012916956</v>
      </c>
      <c r="G13">
        <f>VLOOKUP($A13,'Case-6'!$A$1:$AN$21,21,FALSE)</f>
        <v>0.9881469513129072</v>
      </c>
    </row>
    <row r="14" spans="1:7">
      <c r="A14" s="2">
        <v>78</v>
      </c>
      <c r="B14">
        <f>VLOOKUP($A14,'Case-1'!$A$1:$AN$21,21,FALSE)</f>
        <v>0.99461209750475554</v>
      </c>
      <c r="C14">
        <f>VLOOKUP($A14,'Case-2'!$A$1:$AN$21,21,FALSE)</f>
        <v>0.99291836904046704</v>
      </c>
      <c r="D14">
        <f>VLOOKUP($A14,'Case-3'!$A$1:$AN$21,21,FALSE)</f>
        <v>0.99173311872472536</v>
      </c>
      <c r="E14">
        <f>VLOOKUP($A14,'Case-4'!$A$1:$AN$21,21,FALSE)</f>
        <v>0.98867389630827507</v>
      </c>
      <c r="F14">
        <f>VLOOKUP($A14,'Case-5'!$A$1:$AN$21,21,FALSE)</f>
        <v>0.98911284667189137</v>
      </c>
      <c r="G14">
        <f>VLOOKUP($A14,'Case-6'!$A$1:$AN$21,21,FALSE)</f>
        <v>0.98729055069820393</v>
      </c>
    </row>
    <row r="15" spans="1:7">
      <c r="A15" s="3">
        <v>84</v>
      </c>
      <c r="B15">
        <f>VLOOKUP($A15,'Case-1'!$A$1:$AN$21,21,FALSE)</f>
        <v>0.99126050000121524</v>
      </c>
      <c r="C15">
        <f>VLOOKUP($A15,'Case-2'!$A$1:$AN$21,21,FALSE)</f>
        <v>0.98989393354654698</v>
      </c>
      <c r="D15">
        <f>VLOOKUP($A15,'Case-3'!$A$1:$AN$21,21,FALSE)</f>
        <v>0.98969577748683224</v>
      </c>
      <c r="E15">
        <f>VLOOKUP($A15,'Case-4'!$A$1:$AN$21,21,FALSE)</f>
        <v>0.98936796301047036</v>
      </c>
      <c r="F15">
        <f>VLOOKUP($A15,'Case-5'!$A$1:$AN$21,21,FALSE)</f>
        <v>0.98772299256962104</v>
      </c>
      <c r="G15">
        <f>VLOOKUP($A15,'Case-6'!$A$1:$AN$21,21,FALSE)</f>
        <v>0.98592644101335214</v>
      </c>
    </row>
    <row r="16" spans="1:7">
      <c r="A16" s="2">
        <v>90</v>
      </c>
      <c r="B16">
        <f>VLOOKUP($A16,'Case-1'!$A$1:$AN$21,21,FALSE)</f>
        <v>0.98909901094179908</v>
      </c>
      <c r="C16">
        <f>VLOOKUP($A16,'Case-2'!$A$1:$AN$21,21,FALSE)</f>
        <v>0.99333220276776413</v>
      </c>
      <c r="D16">
        <f>VLOOKUP($A16,'Case-3'!$A$1:$AN$21,21,FALSE)</f>
        <v>0.98994981389450698</v>
      </c>
      <c r="E16">
        <f>VLOOKUP($A16,'Case-4'!$A$1:$AN$21,21,FALSE)</f>
        <v>0.98970893539364224</v>
      </c>
      <c r="F16">
        <f>VLOOKUP($A16,'Case-5'!$A$1:$AN$21,21,FALSE)</f>
        <v>0.98839111194765772</v>
      </c>
      <c r="G16">
        <f>VLOOKUP($A16,'Case-6'!$A$1:$AN$21,21,FALSE)</f>
        <v>0.98938476171853384</v>
      </c>
    </row>
    <row r="17" spans="1:7">
      <c r="A17" s="3">
        <v>96</v>
      </c>
      <c r="B17">
        <f>VLOOKUP($A17,'Case-1'!$A$1:$AN$21,21,FALSE)</f>
        <v>0.99048506054431096</v>
      </c>
      <c r="C17">
        <f>VLOOKUP($A17,'Case-2'!$A$1:$AN$21,21,FALSE)</f>
        <v>0.98972525550732049</v>
      </c>
      <c r="D17">
        <f>VLOOKUP($A17,'Case-3'!$A$1:$AN$21,21,FALSE)</f>
        <v>0.9885050296301735</v>
      </c>
      <c r="E17">
        <f>VLOOKUP($A17,'Case-4'!$A$1:$AN$21,21,FALSE)</f>
        <v>0.98857206670421549</v>
      </c>
      <c r="F17">
        <f>VLOOKUP($A17,'Case-5'!$A$1:$AN$21,21,FALSE)</f>
        <v>0.98591276043550535</v>
      </c>
      <c r="G17">
        <f>VLOOKUP($A17,'Case-6'!$A$1:$AN$21,21,FALSE)</f>
        <v>0.98649409597001181</v>
      </c>
    </row>
    <row r="18" spans="1:7">
      <c r="A18" s="2">
        <v>102</v>
      </c>
      <c r="B18">
        <f>VLOOKUP($A18,'Case-1'!$A$1:$AN$21,21,FALSE)</f>
        <v>0.99162215948700139</v>
      </c>
      <c r="C18">
        <f>VLOOKUP($A18,'Case-2'!$A$1:$AN$21,21,FALSE)</f>
        <v>0.99028212771669655</v>
      </c>
      <c r="D18">
        <f>VLOOKUP($A18,'Case-3'!$A$1:$AN$21,21,FALSE)</f>
        <v>0.98875694067926345</v>
      </c>
      <c r="E18">
        <f>VLOOKUP($A18,'Case-4'!$A$1:$AN$21,21,FALSE)</f>
        <v>0.98822275453998187</v>
      </c>
      <c r="F18">
        <f>VLOOKUP($A18,'Case-5'!$A$1:$AN$21,21,FALSE)</f>
        <v>0.98800496036815422</v>
      </c>
      <c r="G18">
        <f>VLOOKUP($A18,'Case-6'!$A$1:$AN$21,21,FALSE)</f>
        <v>0.98400664300104801</v>
      </c>
    </row>
    <row r="19" spans="1:7">
      <c r="A19" s="3">
        <v>108</v>
      </c>
      <c r="B19">
        <f>VLOOKUP($A19,'Case-1'!$A$1:$AN$21,21,FALSE)</f>
        <v>0.98974103363644605</v>
      </c>
      <c r="C19">
        <f>VLOOKUP($A19,'Case-2'!$A$1:$AN$21,21,FALSE)</f>
        <v>0.98717887140411453</v>
      </c>
      <c r="D19">
        <f>VLOOKUP($A19,'Case-3'!$A$1:$AN$21,21,FALSE)</f>
        <v>0.99028898199833548</v>
      </c>
      <c r="E19">
        <f>VLOOKUP($A19,'Case-4'!$A$1:$AN$21,21,FALSE)</f>
        <v>0.98895928216395623</v>
      </c>
      <c r="F19">
        <f>VLOOKUP($A19,'Case-5'!$A$1:$AN$21,21,FALSE)</f>
        <v>0.98998777837275831</v>
      </c>
      <c r="G19">
        <f>VLOOKUP($A19,'Case-6'!$A$1:$AN$21,21,FALSE)</f>
        <v>0.98707663720505934</v>
      </c>
    </row>
    <row r="20" spans="1:7">
      <c r="A20" s="2">
        <v>114</v>
      </c>
      <c r="B20">
        <f>VLOOKUP($A20,'Case-1'!$A$1:$AN$21,21,FALSE)</f>
        <v>0.98786227087927314</v>
      </c>
      <c r="C20">
        <f>VLOOKUP($A20,'Case-2'!$A$1:$AN$21,21,FALSE)</f>
        <v>0.99001039106743538</v>
      </c>
      <c r="D20">
        <f>VLOOKUP($A20,'Case-3'!$A$1:$AN$21,21,FALSE)</f>
        <v>0.98899938566723089</v>
      </c>
      <c r="E20">
        <f>VLOOKUP($A20,'Case-4'!$A$1:$AN$21,21,FALSE)</f>
        <v>0.98910138040453965</v>
      </c>
      <c r="F20">
        <f>VLOOKUP($A20,'Case-5'!$A$1:$AN$21,21,FALSE)</f>
        <v>0.98583130959397491</v>
      </c>
      <c r="G20">
        <f>VLOOKUP($A20,'Case-6'!$A$1:$AN$21,21,FALSE)</f>
        <v>0.98500582703038131</v>
      </c>
    </row>
    <row r="21" spans="1:7">
      <c r="A21" s="3">
        <v>120</v>
      </c>
      <c r="B21">
        <f>VLOOKUP($A21,'Case-1'!$A$1:$AN$21,21,FALSE)</f>
        <v>0.98869409928044094</v>
      </c>
      <c r="C21">
        <f>VLOOKUP($A21,'Case-2'!$A$1:$AN$21,21,FALSE)</f>
        <v>0.98917476732406917</v>
      </c>
      <c r="D21">
        <f>VLOOKUP($A21,'Case-3'!$A$1:$AN$21,21,FALSE)</f>
        <v>0.9876335242465295</v>
      </c>
      <c r="E21">
        <f>VLOOKUP($A21,'Case-4'!$A$1:$AN$21,21,FALSE)</f>
        <v>0.98896545866633534</v>
      </c>
      <c r="F21">
        <f>VLOOKUP($A21,'Case-5'!$A$1:$AN$21,21,FALSE)</f>
        <v>0.98593968722896175</v>
      </c>
      <c r="G21">
        <f>VLOOKUP($A21,'Case-6'!$A$1:$AN$21,21,FALSE)</f>
        <v>0.98595887036915197</v>
      </c>
    </row>
    <row r="22" spans="1:7">
      <c r="B22">
        <f>AVERAGE(B2:B21)</f>
        <v>0.99478083560088781</v>
      </c>
      <c r="C22">
        <f t="shared" ref="C22:G22" si="0">AVERAGE(C2:C21)</f>
        <v>0.99478465530829607</v>
      </c>
      <c r="D22">
        <f t="shared" si="0"/>
        <v>0.9942827136217639</v>
      </c>
      <c r="E22">
        <f t="shared" si="0"/>
        <v>0.99401154504362099</v>
      </c>
      <c r="F22">
        <f t="shared" si="0"/>
        <v>0.99323766344541242</v>
      </c>
      <c r="G22">
        <f t="shared" si="0"/>
        <v>0.99228506430396679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2BE9-5CBA-4AF1-A936-86CC64E40091}">
  <dimension ref="A1:G21"/>
  <sheetViews>
    <sheetView workbookViewId="0">
      <selection activeCell="N9" sqref="N9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VLOOKUP($A2,'Case-1'!$A$1:$AN$21,22,FALSE)</f>
        <v>0</v>
      </c>
      <c r="C2">
        <f>VLOOKUP($A2,'Case-2'!$A$1:$AN$21,22,FALSE)</f>
        <v>0</v>
      </c>
      <c r="D2">
        <f>VLOOKUP($A2,'Case-3'!$A$1:$AN$21,22,FALSE)</f>
        <v>0</v>
      </c>
      <c r="E2">
        <f>VLOOKUP($A2,'Case-4'!$A$1:$AN$21,22,FALSE)</f>
        <v>0</v>
      </c>
      <c r="F2">
        <f>VLOOKUP($A2,'Case-5'!$A$1:$AN$21,22,FALSE)</f>
        <v>0</v>
      </c>
      <c r="G2">
        <f>VLOOKUP($A2,'Case-6'!$A$1:$AN$21,22,FALSE)</f>
        <v>0</v>
      </c>
    </row>
    <row r="3" spans="1:7">
      <c r="A3" s="3">
        <v>12</v>
      </c>
      <c r="B3">
        <f>VLOOKUP($A3,'Case-1'!$A$1:$AN$21,22,FALSE)</f>
        <v>0</v>
      </c>
      <c r="C3">
        <f>VLOOKUP($A3,'Case-2'!$A$1:$AN$21,22,FALSE)</f>
        <v>0</v>
      </c>
      <c r="D3">
        <f>VLOOKUP($A3,'Case-3'!$A$1:$AN$21,22,FALSE)</f>
        <v>0</v>
      </c>
      <c r="E3">
        <f>VLOOKUP($A3,'Case-4'!$A$1:$AN$21,22,FALSE)</f>
        <v>0</v>
      </c>
      <c r="F3">
        <f>VLOOKUP($A3,'Case-5'!$A$1:$AN$21,22,FALSE)</f>
        <v>0</v>
      </c>
      <c r="G3">
        <f>VLOOKUP($A3,'Case-6'!$A$1:$AN$21,22,FALSE)</f>
        <v>0</v>
      </c>
    </row>
    <row r="4" spans="1:7">
      <c r="A4" s="2">
        <v>18</v>
      </c>
      <c r="B4">
        <f>VLOOKUP($A4,'Case-1'!$A$1:$AN$21,22,FALSE)</f>
        <v>0</v>
      </c>
      <c r="C4">
        <f>VLOOKUP($A4,'Case-2'!$A$1:$AN$21,22,FALSE)</f>
        <v>0</v>
      </c>
      <c r="D4">
        <f>VLOOKUP($A4,'Case-3'!$A$1:$AN$21,22,FALSE)</f>
        <v>0</v>
      </c>
      <c r="E4">
        <f>VLOOKUP($A4,'Case-4'!$A$1:$AN$21,22,FALSE)</f>
        <v>0</v>
      </c>
      <c r="F4">
        <f>VLOOKUP($A4,'Case-5'!$A$1:$AN$21,22,FALSE)</f>
        <v>0</v>
      </c>
      <c r="G4">
        <f>VLOOKUP($A4,'Case-6'!$A$1:$AN$21,22,FALSE)</f>
        <v>0</v>
      </c>
    </row>
    <row r="5" spans="1:7">
      <c r="A5" s="3">
        <v>24</v>
      </c>
      <c r="B5">
        <f>VLOOKUP($A5,'Case-1'!$A$1:$AN$21,22,FALSE)</f>
        <v>0</v>
      </c>
      <c r="C5">
        <f>VLOOKUP($A5,'Case-2'!$A$1:$AN$21,22,FALSE)</f>
        <v>0</v>
      </c>
      <c r="D5">
        <f>VLOOKUP($A5,'Case-3'!$A$1:$AN$21,22,FALSE)</f>
        <v>0</v>
      </c>
      <c r="E5">
        <f>VLOOKUP($A5,'Case-4'!$A$1:$AN$21,22,FALSE)</f>
        <v>0</v>
      </c>
      <c r="F5">
        <f>VLOOKUP($A5,'Case-5'!$A$1:$AN$21,22,FALSE)</f>
        <v>0</v>
      </c>
      <c r="G5">
        <f>VLOOKUP($A5,'Case-6'!$A$1:$AN$21,22,FALSE)</f>
        <v>0</v>
      </c>
    </row>
    <row r="6" spans="1:7">
      <c r="A6" s="2">
        <v>30</v>
      </c>
      <c r="B6">
        <f>VLOOKUP($A6,'Case-1'!$A$1:$AN$21,22,FALSE)</f>
        <v>0</v>
      </c>
      <c r="C6">
        <f>VLOOKUP($A6,'Case-2'!$A$1:$AN$21,22,FALSE)</f>
        <v>0</v>
      </c>
      <c r="D6">
        <f>VLOOKUP($A6,'Case-3'!$A$1:$AN$21,22,FALSE)</f>
        <v>0</v>
      </c>
      <c r="E6">
        <f>VLOOKUP($A6,'Case-4'!$A$1:$AN$21,22,FALSE)</f>
        <v>0</v>
      </c>
      <c r="F6">
        <f>VLOOKUP($A6,'Case-5'!$A$1:$AN$21,22,FALSE)</f>
        <v>0</v>
      </c>
      <c r="G6">
        <f>VLOOKUP($A6,'Case-6'!$A$1:$AN$21,22,FALSE)</f>
        <v>0</v>
      </c>
    </row>
    <row r="7" spans="1:7">
      <c r="A7" s="3">
        <v>36</v>
      </c>
      <c r="B7">
        <f>VLOOKUP($A7,'Case-1'!$A$1:$AN$21,22,FALSE)</f>
        <v>8.7115053082806593E-3</v>
      </c>
      <c r="C7">
        <f>VLOOKUP($A7,'Case-2'!$A$1:$AN$21,22,FALSE)</f>
        <v>6.4240847674752757E-2</v>
      </c>
      <c r="D7">
        <f>VLOOKUP($A7,'Case-3'!$A$1:$AN$21,22,FALSE)</f>
        <v>1.6245106027175538E-2</v>
      </c>
      <c r="E7">
        <f>VLOOKUP($A7,'Case-4'!$A$1:$AN$21,22,FALSE)</f>
        <v>0</v>
      </c>
      <c r="F7">
        <f>VLOOKUP($A7,'Case-5'!$A$1:$AN$21,22,FALSE)</f>
        <v>7.1748418051491319E-2</v>
      </c>
      <c r="G7">
        <f>VLOOKUP($A7,'Case-6'!$A$1:$AN$21,22,FALSE)</f>
        <v>1.8052425552521491E-2</v>
      </c>
    </row>
    <row r="8" spans="1:7">
      <c r="A8" s="2">
        <v>42</v>
      </c>
      <c r="B8">
        <f>VLOOKUP($A8,'Case-1'!$A$1:$AN$21,22,FALSE)</f>
        <v>8.2293373066241363E-2</v>
      </c>
      <c r="C8">
        <f>VLOOKUP($A8,'Case-2'!$A$1:$AN$21,22,FALSE)</f>
        <v>3.9392756192799777E-2</v>
      </c>
      <c r="D8">
        <f>VLOOKUP($A8,'Case-3'!$A$1:$AN$21,22,FALSE)</f>
        <v>4.9686265980923752E-2</v>
      </c>
      <c r="E8">
        <f>VLOOKUP($A8,'Case-4'!$A$1:$AN$21,22,FALSE)</f>
        <v>9.9939185548120632E-2</v>
      </c>
      <c r="F8">
        <f>VLOOKUP($A8,'Case-5'!$A$1:$AN$21,22,FALSE)</f>
        <v>9.0376573098915211E-2</v>
      </c>
      <c r="G8">
        <f>VLOOKUP($A8,'Case-6'!$A$1:$AN$21,22,FALSE)</f>
        <v>9.4210471395816967E-2</v>
      </c>
    </row>
    <row r="9" spans="1:7">
      <c r="A9" s="3">
        <v>48</v>
      </c>
      <c r="B9">
        <f>VLOOKUP($A9,'Case-1'!$A$1:$AN$21,22,FALSE)</f>
        <v>0.1355421241763301</v>
      </c>
      <c r="C9">
        <f>VLOOKUP($A9,'Case-2'!$A$1:$AN$21,22,FALSE)</f>
        <v>0.20912468769473899</v>
      </c>
      <c r="D9">
        <f>VLOOKUP($A9,'Case-3'!$A$1:$AN$21,22,FALSE)</f>
        <v>0.1756069382145122</v>
      </c>
      <c r="E9">
        <f>VLOOKUP($A9,'Case-4'!$A$1:$AN$21,22,FALSE)</f>
        <v>0.21010512373521059</v>
      </c>
      <c r="F9">
        <f>VLOOKUP($A9,'Case-5'!$A$1:$AN$21,22,FALSE)</f>
        <v>0.1762122753570258</v>
      </c>
      <c r="G9">
        <f>VLOOKUP($A9,'Case-6'!$A$1:$AN$21,22,FALSE)</f>
        <v>0.31246159457942541</v>
      </c>
    </row>
    <row r="10" spans="1:7">
      <c r="A10" s="2">
        <v>54</v>
      </c>
      <c r="B10">
        <f>VLOOKUP($A10,'Case-1'!$A$1:$AN$21,22,FALSE)</f>
        <v>0.1227447959601777</v>
      </c>
      <c r="C10">
        <f>VLOOKUP($A10,'Case-2'!$A$1:$AN$21,22,FALSE)</f>
        <v>0.11553470231819429</v>
      </c>
      <c r="D10">
        <f>VLOOKUP($A10,'Case-3'!$A$1:$AN$21,22,FALSE)</f>
        <v>0.34494016861719301</v>
      </c>
      <c r="E10">
        <f>VLOOKUP($A10,'Case-4'!$A$1:$AN$21,22,FALSE)</f>
        <v>0.41280007736428032</v>
      </c>
      <c r="F10">
        <f>VLOOKUP($A10,'Case-5'!$A$1:$AN$21,22,FALSE)</f>
        <v>0.46657499853401102</v>
      </c>
      <c r="G10">
        <f>VLOOKUP($A10,'Case-6'!$A$1:$AN$21,22,FALSE)</f>
        <v>0.57305531054456504</v>
      </c>
    </row>
    <row r="11" spans="1:7">
      <c r="A11" s="3">
        <v>60</v>
      </c>
      <c r="B11">
        <f>VLOOKUP($A11,'Case-1'!$A$1:$AN$21,22,FALSE)</f>
        <v>0.25031135580880037</v>
      </c>
      <c r="C11">
        <f>VLOOKUP($A11,'Case-2'!$A$1:$AN$21,22,FALSE)</f>
        <v>0.30287566513783498</v>
      </c>
      <c r="D11">
        <f>VLOOKUP($A11,'Case-3'!$A$1:$AN$21,22,FALSE)</f>
        <v>0.46265113571882688</v>
      </c>
      <c r="E11">
        <f>VLOOKUP($A11,'Case-4'!$A$1:$AN$21,22,FALSE)</f>
        <v>0.37890896782406353</v>
      </c>
      <c r="F11">
        <f>VLOOKUP($A11,'Case-5'!$A$1:$AN$21,22,FALSE)</f>
        <v>0.72520836119469945</v>
      </c>
      <c r="G11">
        <f>VLOOKUP($A11,'Case-6'!$A$1:$AN$21,22,FALSE)</f>
        <v>0.93864853516544888</v>
      </c>
    </row>
    <row r="12" spans="1:7">
      <c r="A12" s="2">
        <v>66</v>
      </c>
      <c r="B12">
        <f>VLOOKUP($A12,'Case-1'!$A$1:$AN$21,22,FALSE)</f>
        <v>0.36413254220389102</v>
      </c>
      <c r="C12">
        <f>VLOOKUP($A12,'Case-2'!$A$1:$AN$21,22,FALSE)</f>
        <v>0.35671085294085458</v>
      </c>
      <c r="D12">
        <f>VLOOKUP($A12,'Case-3'!$A$1:$AN$21,22,FALSE)</f>
        <v>0.66755371030966304</v>
      </c>
      <c r="E12">
        <f>VLOOKUP($A12,'Case-4'!$A$1:$AN$21,22,FALSE)</f>
        <v>0.91156988857303201</v>
      </c>
      <c r="F12">
        <f>VLOOKUP($A12,'Case-5'!$A$1:$AN$21,22,FALSE)</f>
        <v>1.061854995437407</v>
      </c>
      <c r="G12">
        <f>VLOOKUP($A12,'Case-6'!$A$1:$AN$21,22,FALSE)</f>
        <v>1.346429783492765</v>
      </c>
    </row>
    <row r="13" spans="1:7">
      <c r="A13" s="3">
        <v>72</v>
      </c>
      <c r="B13">
        <f>VLOOKUP($A13,'Case-1'!$A$1:$AN$21,22,FALSE)</f>
        <v>0.44413350168552279</v>
      </c>
      <c r="C13">
        <f>VLOOKUP($A13,'Case-2'!$A$1:$AN$21,22,FALSE)</f>
        <v>0.57212877231232961</v>
      </c>
      <c r="D13">
        <f>VLOOKUP($A13,'Case-3'!$A$1:$AN$21,22,FALSE)</f>
        <v>0.78759339114567894</v>
      </c>
      <c r="E13">
        <f>VLOOKUP($A13,'Case-4'!$A$1:$AN$21,22,FALSE)</f>
        <v>1.020555393103417</v>
      </c>
      <c r="F13">
        <f>VLOOKUP($A13,'Case-5'!$A$1:$AN$21,22,FALSE)</f>
        <v>1.1197185636953371</v>
      </c>
      <c r="G13">
        <f>VLOOKUP($A13,'Case-6'!$A$1:$AN$21,22,FALSE)</f>
        <v>1.553985428318817</v>
      </c>
    </row>
    <row r="14" spans="1:7">
      <c r="A14" s="2">
        <v>78</v>
      </c>
      <c r="B14">
        <f>VLOOKUP($A14,'Case-1'!$A$1:$AN$21,22,FALSE)</f>
        <v>0.41270837424596912</v>
      </c>
      <c r="C14">
        <f>VLOOKUP($A14,'Case-2'!$A$1:$AN$21,22,FALSE)</f>
        <v>0.6069952090321501</v>
      </c>
      <c r="D14">
        <f>VLOOKUP($A14,'Case-3'!$A$1:$AN$21,22,FALSE)</f>
        <v>0.93635894277382903</v>
      </c>
      <c r="E14">
        <f>VLOOKUP($A14,'Case-4'!$A$1:$AN$21,22,FALSE)</f>
        <v>1.2690365751650681</v>
      </c>
      <c r="F14">
        <f>VLOOKUP($A14,'Case-5'!$A$1:$AN$21,22,FALSE)</f>
        <v>1.536050366141791</v>
      </c>
      <c r="G14">
        <f>VLOOKUP($A14,'Case-6'!$A$1:$AN$21,22,FALSE)</f>
        <v>1.7635396113798001</v>
      </c>
    </row>
    <row r="15" spans="1:7">
      <c r="A15" s="3">
        <v>84</v>
      </c>
      <c r="B15">
        <f>VLOOKUP($A15,'Case-1'!$A$1:$AN$21,22,FALSE)</f>
        <v>0.72798205785502446</v>
      </c>
      <c r="C15">
        <f>VLOOKUP($A15,'Case-2'!$A$1:$AN$21,22,FALSE)</f>
        <v>0.7409613656169951</v>
      </c>
      <c r="D15">
        <f>VLOOKUP($A15,'Case-3'!$A$1:$AN$21,22,FALSE)</f>
        <v>0.94295672056603852</v>
      </c>
      <c r="E15">
        <f>VLOOKUP($A15,'Case-4'!$A$1:$AN$21,22,FALSE)</f>
        <v>1.281451169965629</v>
      </c>
      <c r="F15">
        <f>VLOOKUP($A15,'Case-5'!$A$1:$AN$21,22,FALSE)</f>
        <v>1.6009111116587971</v>
      </c>
      <c r="G15">
        <f>VLOOKUP($A15,'Case-6'!$A$1:$AN$21,22,FALSE)</f>
        <v>2.0720250081382372</v>
      </c>
    </row>
    <row r="16" spans="1:7">
      <c r="A16" s="2">
        <v>90</v>
      </c>
      <c r="B16">
        <f>VLOOKUP($A16,'Case-1'!$A$1:$AN$21,22,FALSE)</f>
        <v>0.76503640511022653</v>
      </c>
      <c r="C16">
        <f>VLOOKUP($A16,'Case-2'!$A$1:$AN$21,22,FALSE)</f>
        <v>0.89598873019237746</v>
      </c>
      <c r="D16">
        <f>VLOOKUP($A16,'Case-3'!$A$1:$AN$21,22,FALSE)</f>
        <v>1.2444390399823591</v>
      </c>
      <c r="E16">
        <f>VLOOKUP($A16,'Case-4'!$A$1:$AN$21,22,FALSE)</f>
        <v>1.418118374401915</v>
      </c>
      <c r="F16">
        <f>VLOOKUP($A16,'Case-5'!$A$1:$AN$21,22,FALSE)</f>
        <v>2.030157846843144</v>
      </c>
      <c r="G16">
        <f>VLOOKUP($A16,'Case-6'!$A$1:$AN$21,22,FALSE)</f>
        <v>2.124125902472239</v>
      </c>
    </row>
    <row r="17" spans="1:7">
      <c r="A17" s="3">
        <v>96</v>
      </c>
      <c r="B17">
        <f>VLOOKUP($A17,'Case-1'!$A$1:$AN$21,22,FALSE)</f>
        <v>0.93774502879183819</v>
      </c>
      <c r="C17">
        <f>VLOOKUP($A17,'Case-2'!$A$1:$AN$21,22,FALSE)</f>
        <v>0.95631342012275822</v>
      </c>
      <c r="D17">
        <f>VLOOKUP($A17,'Case-3'!$A$1:$AN$21,22,FALSE)</f>
        <v>1.325961623581883</v>
      </c>
      <c r="E17">
        <f>VLOOKUP($A17,'Case-4'!$A$1:$AN$21,22,FALSE)</f>
        <v>1.721174844383434</v>
      </c>
      <c r="F17">
        <f>VLOOKUP($A17,'Case-5'!$A$1:$AN$21,22,FALSE)</f>
        <v>2.2351689321720012</v>
      </c>
      <c r="G17">
        <f>VLOOKUP($A17,'Case-6'!$A$1:$AN$21,22,FALSE)</f>
        <v>2.401797518503995</v>
      </c>
    </row>
    <row r="18" spans="1:7">
      <c r="A18" s="2">
        <v>102</v>
      </c>
      <c r="B18">
        <f>VLOOKUP($A18,'Case-1'!$A$1:$AN$21,22,FALSE)</f>
        <v>0.98256522991716355</v>
      </c>
      <c r="C18">
        <f>VLOOKUP($A18,'Case-2'!$A$1:$AN$21,22,FALSE)</f>
        <v>1.181739499062413</v>
      </c>
      <c r="D18">
        <f>VLOOKUP($A18,'Case-3'!$A$1:$AN$21,22,FALSE)</f>
        <v>1.5778879210980601</v>
      </c>
      <c r="E18">
        <f>VLOOKUP($A18,'Case-4'!$A$1:$AN$21,22,FALSE)</f>
        <v>1.977973875737757</v>
      </c>
      <c r="F18">
        <f>VLOOKUP($A18,'Case-5'!$A$1:$AN$21,22,FALSE)</f>
        <v>2.3808356202133969</v>
      </c>
      <c r="G18">
        <f>VLOOKUP($A18,'Case-6'!$A$1:$AN$21,22,FALSE)</f>
        <v>2.574765209983076</v>
      </c>
    </row>
    <row r="19" spans="1:7">
      <c r="A19" s="3">
        <v>108</v>
      </c>
      <c r="B19">
        <f>VLOOKUP($A19,'Case-1'!$A$1:$AN$21,22,FALSE)</f>
        <v>1.148326558444779</v>
      </c>
      <c r="C19">
        <f>VLOOKUP($A19,'Case-2'!$A$1:$AN$21,22,FALSE)</f>
        <v>1.338309506205186</v>
      </c>
      <c r="D19">
        <f>VLOOKUP($A19,'Case-3'!$A$1:$AN$21,22,FALSE)</f>
        <v>1.4046995438103169</v>
      </c>
      <c r="E19">
        <f>VLOOKUP($A19,'Case-4'!$A$1:$AN$21,22,FALSE)</f>
        <v>1.9570557328410729</v>
      </c>
      <c r="F19">
        <f>VLOOKUP($A19,'Case-5'!$A$1:$AN$21,22,FALSE)</f>
        <v>2.3294889428720631</v>
      </c>
      <c r="G19">
        <f>VLOOKUP($A19,'Case-6'!$A$1:$AN$21,22,FALSE)</f>
        <v>2.8144642710595078</v>
      </c>
    </row>
    <row r="20" spans="1:7">
      <c r="A20" s="2">
        <v>114</v>
      </c>
      <c r="B20">
        <f>VLOOKUP($A20,'Case-1'!$A$1:$AN$21,22,FALSE)</f>
        <v>1.194291667219781</v>
      </c>
      <c r="C20">
        <f>VLOOKUP($A20,'Case-2'!$A$1:$AN$21,22,FALSE)</f>
        <v>1.320396500221422</v>
      </c>
      <c r="D20">
        <f>VLOOKUP($A20,'Case-3'!$A$1:$AN$21,22,FALSE)</f>
        <v>1.6962205002385951</v>
      </c>
      <c r="E20">
        <f>VLOOKUP($A20,'Case-4'!$A$1:$AN$21,22,FALSE)</f>
        <v>2.1450946217782469</v>
      </c>
      <c r="F20">
        <f>VLOOKUP($A20,'Case-5'!$A$1:$AN$21,22,FALSE)</f>
        <v>2.6585998394640828</v>
      </c>
      <c r="G20">
        <f>VLOOKUP($A20,'Case-6'!$A$1:$AN$21,22,FALSE)</f>
        <v>2.943322566250079</v>
      </c>
    </row>
    <row r="21" spans="1:7">
      <c r="A21" s="3">
        <v>120</v>
      </c>
      <c r="B21">
        <f>VLOOKUP($A21,'Case-1'!$A$1:$AN$21,22,FALSE)</f>
        <v>1.259228715405504</v>
      </c>
      <c r="C21">
        <f>VLOOKUP($A21,'Case-2'!$A$1:$AN$21,22,FALSE)</f>
        <v>1.587989595833958</v>
      </c>
      <c r="D21">
        <f>VLOOKUP($A21,'Case-3'!$A$1:$AN$21,22,FALSE)</f>
        <v>2.0405438778238629</v>
      </c>
      <c r="E21">
        <f>VLOOKUP($A21,'Case-4'!$A$1:$AN$21,22,FALSE)</f>
        <v>2.2877194226660151</v>
      </c>
      <c r="F21">
        <f>VLOOKUP($A21,'Case-5'!$A$1:$AN$21,22,FALSE)</f>
        <v>2.70621232417135</v>
      </c>
      <c r="G21">
        <f>VLOOKUP($A21,'Case-6'!$A$1:$AN$21,22,FALSE)</f>
        <v>3.3564022884430149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7ED4-6F2B-45F1-840E-2DED224CE7C1}">
  <dimension ref="A1:G21"/>
  <sheetViews>
    <sheetView workbookViewId="0">
      <selection activeCell="N24" sqref="N24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VLOOKUP($A2,'Case-1'!$A$1:$AN$21,23,FALSE)</f>
        <v>1</v>
      </c>
      <c r="C2">
        <f>VLOOKUP($A2,'Case-2'!$A$1:$AN$21,23,FALSE)</f>
        <v>1</v>
      </c>
      <c r="D2">
        <f>VLOOKUP($A2,'Case-3'!$A$1:$AN$21,23,FALSE)</f>
        <v>1</v>
      </c>
      <c r="E2">
        <f>VLOOKUP($A2,'Case-4'!$A$1:$AN$21,23,FALSE)</f>
        <v>1</v>
      </c>
      <c r="F2">
        <f>VLOOKUP($A2,'Case-5'!$A$1:$AN$21,23,FALSE)</f>
        <v>1</v>
      </c>
      <c r="G2">
        <f>VLOOKUP($A2,'Case-6'!$A$1:$AN$21,23,FALSE)</f>
        <v>1</v>
      </c>
    </row>
    <row r="3" spans="1:7">
      <c r="A3" s="3">
        <v>12</v>
      </c>
      <c r="B3">
        <f>VLOOKUP($A3,'Case-1'!$A$1:$AN$21,23,FALSE)</f>
        <v>1</v>
      </c>
      <c r="C3">
        <f>VLOOKUP($A3,'Case-2'!$A$1:$AN$21,23,FALSE)</f>
        <v>1</v>
      </c>
      <c r="D3">
        <f>VLOOKUP($A3,'Case-3'!$A$1:$AN$21,23,FALSE)</f>
        <v>1</v>
      </c>
      <c r="E3">
        <f>VLOOKUP($A3,'Case-4'!$A$1:$AN$21,23,FALSE)</f>
        <v>1</v>
      </c>
      <c r="F3">
        <f>VLOOKUP($A3,'Case-5'!$A$1:$AN$21,23,FALSE)</f>
        <v>1</v>
      </c>
      <c r="G3">
        <f>VLOOKUP($A3,'Case-6'!$A$1:$AN$21,23,FALSE)</f>
        <v>1</v>
      </c>
    </row>
    <row r="4" spans="1:7">
      <c r="A4" s="2">
        <v>18</v>
      </c>
      <c r="B4">
        <f>VLOOKUP($A4,'Case-1'!$A$1:$AN$21,23,FALSE)</f>
        <v>1</v>
      </c>
      <c r="C4">
        <f>VLOOKUP($A4,'Case-2'!$A$1:$AN$21,23,FALSE)</f>
        <v>1</v>
      </c>
      <c r="D4">
        <f>VLOOKUP($A4,'Case-3'!$A$1:$AN$21,23,FALSE)</f>
        <v>1</v>
      </c>
      <c r="E4">
        <f>VLOOKUP($A4,'Case-4'!$A$1:$AN$21,23,FALSE)</f>
        <v>1</v>
      </c>
      <c r="F4">
        <f>VLOOKUP($A4,'Case-5'!$A$1:$AN$21,23,FALSE)</f>
        <v>1</v>
      </c>
      <c r="G4">
        <f>VLOOKUP($A4,'Case-6'!$A$1:$AN$21,23,FALSE)</f>
        <v>1</v>
      </c>
    </row>
    <row r="5" spans="1:7">
      <c r="A5" s="3">
        <v>24</v>
      </c>
      <c r="B5">
        <f>VLOOKUP($A5,'Case-1'!$A$1:$AN$21,23,FALSE)</f>
        <v>1</v>
      </c>
      <c r="C5">
        <f>VLOOKUP($A5,'Case-2'!$A$1:$AN$21,23,FALSE)</f>
        <v>1</v>
      </c>
      <c r="D5">
        <f>VLOOKUP($A5,'Case-3'!$A$1:$AN$21,23,FALSE)</f>
        <v>1</v>
      </c>
      <c r="E5">
        <f>VLOOKUP($A5,'Case-4'!$A$1:$AN$21,23,FALSE)</f>
        <v>1</v>
      </c>
      <c r="F5">
        <f>VLOOKUP($A5,'Case-5'!$A$1:$AN$21,23,FALSE)</f>
        <v>1</v>
      </c>
      <c r="G5">
        <f>VLOOKUP($A5,'Case-6'!$A$1:$AN$21,23,FALSE)</f>
        <v>1</v>
      </c>
    </row>
    <row r="6" spans="1:7">
      <c r="A6" s="2">
        <v>30</v>
      </c>
      <c r="B6">
        <f>VLOOKUP($A6,'Case-1'!$A$1:$AN$21,23,FALSE)</f>
        <v>1</v>
      </c>
      <c r="C6">
        <f>VLOOKUP($A6,'Case-2'!$A$1:$AN$21,23,FALSE)</f>
        <v>1</v>
      </c>
      <c r="D6">
        <f>VLOOKUP($A6,'Case-3'!$A$1:$AN$21,23,FALSE)</f>
        <v>1</v>
      </c>
      <c r="E6">
        <f>VLOOKUP($A6,'Case-4'!$A$1:$AN$21,23,FALSE)</f>
        <v>1</v>
      </c>
      <c r="F6">
        <f>VLOOKUP($A6,'Case-5'!$A$1:$AN$21,23,FALSE)</f>
        <v>1</v>
      </c>
      <c r="G6">
        <f>VLOOKUP($A6,'Case-6'!$A$1:$AN$21,23,FALSE)</f>
        <v>1</v>
      </c>
    </row>
    <row r="7" spans="1:7">
      <c r="A7" s="3">
        <v>36</v>
      </c>
      <c r="B7">
        <f>VLOOKUP($A7,'Case-1'!$A$1:$AN$21,23,FALSE)</f>
        <v>0.97</v>
      </c>
      <c r="C7">
        <f>VLOOKUP($A7,'Case-2'!$A$1:$AN$21,23,FALSE)</f>
        <v>0.92999999999999994</v>
      </c>
      <c r="D7">
        <f>VLOOKUP($A7,'Case-3'!$A$1:$AN$21,23,FALSE)</f>
        <v>0.98</v>
      </c>
      <c r="E7">
        <f>VLOOKUP($A7,'Case-4'!$A$1:$AN$21,23,FALSE)</f>
        <v>1</v>
      </c>
      <c r="F7">
        <f>VLOOKUP($A7,'Case-5'!$A$1:$AN$21,23,FALSE)</f>
        <v>0.95</v>
      </c>
      <c r="G7">
        <f>VLOOKUP($A7,'Case-6'!$A$1:$AN$21,23,FALSE)</f>
        <v>0.98</v>
      </c>
    </row>
    <row r="8" spans="1:7">
      <c r="A8" s="2">
        <v>42</v>
      </c>
      <c r="B8">
        <f>VLOOKUP($A8,'Case-1'!$A$1:$AN$21,23,FALSE)</f>
        <v>0.87</v>
      </c>
      <c r="C8">
        <f>VLOOKUP($A8,'Case-2'!$A$1:$AN$21,23,FALSE)</f>
        <v>0.92999999999999994</v>
      </c>
      <c r="D8">
        <f>VLOOKUP($A8,'Case-3'!$A$1:$AN$21,23,FALSE)</f>
        <v>0.92999999999999994</v>
      </c>
      <c r="E8">
        <f>VLOOKUP($A8,'Case-4'!$A$1:$AN$21,23,FALSE)</f>
        <v>0.91</v>
      </c>
      <c r="F8">
        <f>VLOOKUP($A8,'Case-5'!$A$1:$AN$21,23,FALSE)</f>
        <v>0.9</v>
      </c>
      <c r="G8">
        <f>VLOOKUP($A8,'Case-6'!$A$1:$AN$21,23,FALSE)</f>
        <v>0.87</v>
      </c>
    </row>
    <row r="9" spans="1:7">
      <c r="A9" s="3">
        <v>48</v>
      </c>
      <c r="B9">
        <f>VLOOKUP($A9,'Case-1'!$A$1:$AN$21,23,FALSE)</f>
        <v>0.78</v>
      </c>
      <c r="C9">
        <f>VLOOKUP($A9,'Case-2'!$A$1:$AN$21,23,FALSE)</f>
        <v>0.75</v>
      </c>
      <c r="D9">
        <f>VLOOKUP($A9,'Case-3'!$A$1:$AN$21,23,FALSE)</f>
        <v>0.81</v>
      </c>
      <c r="E9">
        <f>VLOOKUP($A9,'Case-4'!$A$1:$AN$21,23,FALSE)</f>
        <v>0.81</v>
      </c>
      <c r="F9">
        <f>VLOOKUP($A9,'Case-5'!$A$1:$AN$21,23,FALSE)</f>
        <v>0.83</v>
      </c>
      <c r="G9">
        <f>VLOOKUP($A9,'Case-6'!$A$1:$AN$21,23,FALSE)</f>
        <v>0.72</v>
      </c>
    </row>
    <row r="10" spans="1:7">
      <c r="A10" s="2">
        <v>54</v>
      </c>
      <c r="B10">
        <f>VLOOKUP($A10,'Case-1'!$A$1:$AN$21,23,FALSE)</f>
        <v>0.74</v>
      </c>
      <c r="C10">
        <f>VLOOKUP($A10,'Case-2'!$A$1:$AN$21,23,FALSE)</f>
        <v>0.76</v>
      </c>
      <c r="D10">
        <f>VLOOKUP($A10,'Case-3'!$A$1:$AN$21,23,FALSE)</f>
        <v>0.66999999999999993</v>
      </c>
      <c r="E10">
        <f>VLOOKUP($A10,'Case-4'!$A$1:$AN$21,23,FALSE)</f>
        <v>0.6</v>
      </c>
      <c r="F10">
        <f>VLOOKUP($A10,'Case-5'!$A$1:$AN$21,23,FALSE)</f>
        <v>0.59000000000000008</v>
      </c>
      <c r="G10">
        <f>VLOOKUP($A10,'Case-6'!$A$1:$AN$21,23,FALSE)</f>
        <v>0.51</v>
      </c>
    </row>
    <row r="11" spans="1:7">
      <c r="A11" s="3">
        <v>60</v>
      </c>
      <c r="B11">
        <f>VLOOKUP($A11,'Case-1'!$A$1:$AN$21,23,FALSE)</f>
        <v>0.59000000000000008</v>
      </c>
      <c r="C11">
        <f>VLOOKUP($A11,'Case-2'!$A$1:$AN$21,23,FALSE)</f>
        <v>0.62</v>
      </c>
      <c r="D11">
        <f>VLOOKUP($A11,'Case-3'!$A$1:$AN$21,23,FALSE)</f>
        <v>0.52</v>
      </c>
      <c r="E11">
        <f>VLOOKUP($A11,'Case-4'!$A$1:$AN$21,23,FALSE)</f>
        <v>0.65999999999999992</v>
      </c>
      <c r="F11">
        <f>VLOOKUP($A11,'Case-5'!$A$1:$AN$21,23,FALSE)</f>
        <v>0.47</v>
      </c>
      <c r="G11">
        <f>VLOOKUP($A11,'Case-6'!$A$1:$AN$21,23,FALSE)</f>
        <v>0.38</v>
      </c>
    </row>
    <row r="12" spans="1:7">
      <c r="A12" s="2">
        <v>66</v>
      </c>
      <c r="B12">
        <f>VLOOKUP($A12,'Case-1'!$A$1:$AN$21,23,FALSE)</f>
        <v>0.51</v>
      </c>
      <c r="C12">
        <f>VLOOKUP($A12,'Case-2'!$A$1:$AN$21,23,FALSE)</f>
        <v>0.53549999999999998</v>
      </c>
      <c r="D12">
        <f>VLOOKUP($A12,'Case-3'!$A$1:$AN$21,23,FALSE)</f>
        <v>0.39</v>
      </c>
      <c r="E12">
        <f>VLOOKUP($A12,'Case-4'!$A$1:$AN$21,23,FALSE)</f>
        <v>0.37</v>
      </c>
      <c r="F12">
        <f>VLOOKUP($A12,'Case-5'!$A$1:$AN$21,23,FALSE)</f>
        <v>0.28000000000000003</v>
      </c>
      <c r="G12">
        <f>VLOOKUP($A12,'Case-6'!$A$1:$AN$21,23,FALSE)</f>
        <v>0.18999999999999989</v>
      </c>
    </row>
    <row r="13" spans="1:7">
      <c r="A13" s="3">
        <v>72</v>
      </c>
      <c r="B13">
        <f>VLOOKUP($A13,'Case-1'!$A$1:$AN$21,23,FALSE)</f>
        <v>0.46</v>
      </c>
      <c r="C13">
        <f>VLOOKUP($A13,'Case-2'!$A$1:$AN$21,23,FALSE)</f>
        <v>0.47</v>
      </c>
      <c r="D13">
        <f>VLOOKUP($A13,'Case-3'!$A$1:$AN$21,23,FALSE)</f>
        <v>0.42</v>
      </c>
      <c r="E13">
        <f>VLOOKUP($A13,'Case-4'!$A$1:$AN$21,23,FALSE)</f>
        <v>0.27</v>
      </c>
      <c r="F13">
        <f>VLOOKUP($A13,'Case-5'!$A$1:$AN$21,23,FALSE)</f>
        <v>0.24</v>
      </c>
      <c r="G13">
        <f>VLOOKUP($A13,'Case-6'!$A$1:$AN$21,23,FALSE)</f>
        <v>0.11</v>
      </c>
    </row>
    <row r="14" spans="1:7">
      <c r="A14" s="2">
        <v>78</v>
      </c>
      <c r="B14">
        <f>VLOOKUP($A14,'Case-1'!$A$1:$AN$21,23,FALSE)</f>
        <v>0.46550000000000002</v>
      </c>
      <c r="C14">
        <f>VLOOKUP($A14,'Case-2'!$A$1:$AN$21,23,FALSE)</f>
        <v>0.41</v>
      </c>
      <c r="D14">
        <f>VLOOKUP($A14,'Case-3'!$A$1:$AN$21,23,FALSE)</f>
        <v>0.28999999999999998</v>
      </c>
      <c r="E14">
        <f>VLOOKUP($A14,'Case-4'!$A$1:$AN$21,23,FALSE)</f>
        <v>0.17</v>
      </c>
      <c r="F14">
        <f>VLOOKUP($A14,'Case-5'!$A$1:$AN$21,23,FALSE)</f>
        <v>0.11</v>
      </c>
      <c r="G14">
        <f>VLOOKUP($A14,'Case-6'!$A$1:$AN$21,23,FALSE)</f>
        <v>9.9999999999999978E-2</v>
      </c>
    </row>
    <row r="15" spans="1:7">
      <c r="A15" s="3">
        <v>84</v>
      </c>
      <c r="B15">
        <f>VLOOKUP($A15,'Case-1'!$A$1:$AN$21,23,FALSE)</f>
        <v>0.32</v>
      </c>
      <c r="C15">
        <f>VLOOKUP($A15,'Case-2'!$A$1:$AN$21,23,FALSE)</f>
        <v>0.26</v>
      </c>
      <c r="D15">
        <f>VLOOKUP($A15,'Case-3'!$A$1:$AN$21,23,FALSE)</f>
        <v>0.18</v>
      </c>
      <c r="E15">
        <f>VLOOKUP($A15,'Case-4'!$A$1:$AN$21,23,FALSE)</f>
        <v>0.16</v>
      </c>
      <c r="F15">
        <f>VLOOKUP($A15,'Case-5'!$A$1:$AN$21,23,FALSE)</f>
        <v>0.11</v>
      </c>
      <c r="G15">
        <f>VLOOKUP($A15,'Case-6'!$A$1:$AN$21,23,FALSE)</f>
        <v>3.000000000000003E-2</v>
      </c>
    </row>
    <row r="16" spans="1:7">
      <c r="A16" s="2">
        <v>90</v>
      </c>
      <c r="B16">
        <f>VLOOKUP($A16,'Case-1'!$A$1:$AN$21,23,FALSE)</f>
        <v>0.23</v>
      </c>
      <c r="C16">
        <f>VLOOKUP($A16,'Case-2'!$A$1:$AN$21,23,FALSE)</f>
        <v>0.22</v>
      </c>
      <c r="D16">
        <f>VLOOKUP($A16,'Case-3'!$A$1:$AN$21,23,FALSE)</f>
        <v>0.18999999999999989</v>
      </c>
      <c r="E16">
        <f>VLOOKUP($A16,'Case-4'!$A$1:$AN$21,23,FALSE)</f>
        <v>0.11</v>
      </c>
      <c r="F16">
        <f>VLOOKUP($A16,'Case-5'!$A$1:$AN$21,23,FALSE)</f>
        <v>6.9999999999999951E-2</v>
      </c>
      <c r="G16">
        <f>VLOOKUP($A16,'Case-6'!$A$1:$AN$21,23,FALSE)</f>
        <v>5.0000000000000037E-2</v>
      </c>
    </row>
    <row r="17" spans="1:7">
      <c r="A17" s="3">
        <v>96</v>
      </c>
      <c r="B17">
        <f>VLOOKUP($A17,'Case-1'!$A$1:$AN$21,23,FALSE)</f>
        <v>0.23</v>
      </c>
      <c r="C17">
        <f>VLOOKUP($A17,'Case-2'!$A$1:$AN$21,23,FALSE)</f>
        <v>0.14000000000000001</v>
      </c>
      <c r="D17">
        <f>VLOOKUP($A17,'Case-3'!$A$1:$AN$21,23,FALSE)</f>
        <v>0.15</v>
      </c>
      <c r="E17">
        <f>VLOOKUP($A17,'Case-4'!$A$1:$AN$21,23,FALSE)</f>
        <v>6.0000000000000053E-2</v>
      </c>
      <c r="F17">
        <f>VLOOKUP($A17,'Case-5'!$A$1:$AN$21,23,FALSE)</f>
        <v>6.0000000000000053E-2</v>
      </c>
      <c r="G17">
        <f>VLOOKUP($A17,'Case-6'!$A$1:$AN$21,23,FALSE)</f>
        <v>3.000000000000003E-2</v>
      </c>
    </row>
    <row r="18" spans="1:7">
      <c r="A18" s="2">
        <v>102</v>
      </c>
      <c r="B18">
        <f>VLOOKUP($A18,'Case-1'!$A$1:$AN$21,23,FALSE)</f>
        <v>0.23</v>
      </c>
      <c r="C18">
        <f>VLOOKUP($A18,'Case-2'!$A$1:$AN$21,23,FALSE)</f>
        <v>6.9999999999999951E-2</v>
      </c>
      <c r="D18">
        <f>VLOOKUP($A18,'Case-3'!$A$1:$AN$21,23,FALSE)</f>
        <v>8.9999999999999969E-2</v>
      </c>
      <c r="E18">
        <f>VLOOKUP($A18,'Case-4'!$A$1:$AN$21,23,FALSE)</f>
        <v>6.0000000000000053E-2</v>
      </c>
      <c r="F18">
        <f>VLOOKUP($A18,'Case-5'!$A$1:$AN$21,23,FALSE)</f>
        <v>2.0000000000000021E-2</v>
      </c>
      <c r="G18">
        <f>VLOOKUP($A18,'Case-6'!$A$1:$AN$21,23,FALSE)</f>
        <v>0</v>
      </c>
    </row>
    <row r="19" spans="1:7">
      <c r="A19" s="3">
        <v>108</v>
      </c>
      <c r="B19">
        <f>VLOOKUP($A19,'Case-1'!$A$1:$AN$21,23,FALSE)</f>
        <v>0.15</v>
      </c>
      <c r="C19">
        <f>VLOOKUP($A19,'Case-2'!$A$1:$AN$21,23,FALSE)</f>
        <v>0.14000000000000001</v>
      </c>
      <c r="D19">
        <f>VLOOKUP($A19,'Case-3'!$A$1:$AN$21,23,FALSE)</f>
        <v>8.9999999999999969E-2</v>
      </c>
      <c r="E19">
        <f>VLOOKUP($A19,'Case-4'!$A$1:$AN$21,23,FALSE)</f>
        <v>5.0000000000000037E-2</v>
      </c>
      <c r="F19">
        <f>VLOOKUP($A19,'Case-5'!$A$1:$AN$21,23,FALSE)</f>
        <v>2.0000000000000021E-2</v>
      </c>
      <c r="G19">
        <f>VLOOKUP($A19,'Case-6'!$A$1:$AN$21,23,FALSE)</f>
        <v>0</v>
      </c>
    </row>
    <row r="20" spans="1:7">
      <c r="A20" s="2">
        <v>114</v>
      </c>
      <c r="B20">
        <f>VLOOKUP($A20,'Case-1'!$A$1:$AN$21,23,FALSE)</f>
        <v>0.12</v>
      </c>
      <c r="C20">
        <f>VLOOKUP($A20,'Case-2'!$A$1:$AN$21,23,FALSE)</f>
        <v>7.999999999999996E-2</v>
      </c>
      <c r="D20">
        <f>VLOOKUP($A20,'Case-3'!$A$1:$AN$21,23,FALSE)</f>
        <v>6.9999999999999951E-2</v>
      </c>
      <c r="E20">
        <f>VLOOKUP($A20,'Case-4'!$A$1:$AN$21,23,FALSE)</f>
        <v>1.0000000000000011E-2</v>
      </c>
      <c r="F20">
        <f>VLOOKUP($A20,'Case-5'!$A$1:$AN$21,23,FALSE)</f>
        <v>0</v>
      </c>
      <c r="G20">
        <f>VLOOKUP($A20,'Case-6'!$A$1:$AN$21,23,FALSE)</f>
        <v>1.0000000000000011E-2</v>
      </c>
    </row>
    <row r="21" spans="1:7">
      <c r="A21" s="3">
        <v>120</v>
      </c>
      <c r="B21">
        <f>VLOOKUP($A21,'Case-1'!$A$1:$AN$21,23,FALSE)</f>
        <v>7.999999999999996E-2</v>
      </c>
      <c r="C21">
        <f>VLOOKUP($A21,'Case-2'!$A$1:$AN$21,23,FALSE)</f>
        <v>8.9999999999999969E-2</v>
      </c>
      <c r="D21">
        <f>VLOOKUP($A21,'Case-3'!$A$1:$AN$21,23,FALSE)</f>
        <v>3.000000000000003E-2</v>
      </c>
      <c r="E21">
        <f>VLOOKUP($A21,'Case-4'!$A$1:$AN$21,23,FALSE)</f>
        <v>2.0000000000000021E-2</v>
      </c>
      <c r="F21">
        <f>VLOOKUP($A21,'Case-5'!$A$1:$AN$21,23,FALSE)</f>
        <v>1.0000000000000011E-2</v>
      </c>
      <c r="G21">
        <f>VLOOKUP($A21,'Case-6'!$A$1:$AN$21,23,FALSE)</f>
        <v>0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3F5C-E1A4-4BF0-939B-CF7D10F82F8B}">
  <dimension ref="A1:G21"/>
  <sheetViews>
    <sheetView workbookViewId="0">
      <selection activeCell="J11" sqref="J11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VLOOKUP($A2,'Case-1'!$A$1:$AN$21,24,FALSE)</f>
        <v>0</v>
      </c>
      <c r="C2">
        <f>VLOOKUP($A2,'Case-2'!$A$1:$AN$21,24,FALSE)</f>
        <v>0</v>
      </c>
      <c r="D2">
        <f>VLOOKUP($A2,'Case-3'!$A$1:$AN$21,24,FALSE)</f>
        <v>0</v>
      </c>
      <c r="E2">
        <f>VLOOKUP($A2,'Case-4'!$A$1:$AN$21,24,FALSE)</f>
        <v>0</v>
      </c>
      <c r="F2">
        <f>VLOOKUP($A2,'Case-5'!$A$1:$AN$21,24,FALSE)</f>
        <v>0</v>
      </c>
      <c r="G2">
        <f>VLOOKUP($A2,'Case-6'!$A$1:$AN$21,24,FALSE)</f>
        <v>0</v>
      </c>
    </row>
    <row r="3" spans="1:7">
      <c r="A3" s="3">
        <v>12</v>
      </c>
      <c r="B3">
        <f>VLOOKUP($A3,'Case-1'!$A$1:$AN$21,24,FALSE)</f>
        <v>0</v>
      </c>
      <c r="C3">
        <f>VLOOKUP($A3,'Case-2'!$A$1:$AN$21,24,FALSE)</f>
        <v>0</v>
      </c>
      <c r="D3">
        <f>VLOOKUP($A3,'Case-3'!$A$1:$AN$21,24,FALSE)</f>
        <v>0</v>
      </c>
      <c r="E3">
        <f>VLOOKUP($A3,'Case-4'!$A$1:$AN$21,24,FALSE)</f>
        <v>0</v>
      </c>
      <c r="F3">
        <f>VLOOKUP($A3,'Case-5'!$A$1:$AN$21,24,FALSE)</f>
        <v>0</v>
      </c>
      <c r="G3">
        <f>VLOOKUP($A3,'Case-6'!$A$1:$AN$21,24,FALSE)</f>
        <v>0</v>
      </c>
    </row>
    <row r="4" spans="1:7">
      <c r="A4" s="2">
        <v>18</v>
      </c>
      <c r="B4">
        <f>VLOOKUP($A4,'Case-1'!$A$1:$AN$21,24,FALSE)</f>
        <v>0</v>
      </c>
      <c r="C4">
        <f>VLOOKUP($A4,'Case-2'!$A$1:$AN$21,24,FALSE)</f>
        <v>0</v>
      </c>
      <c r="D4">
        <f>VLOOKUP($A4,'Case-3'!$A$1:$AN$21,24,FALSE)</f>
        <v>0</v>
      </c>
      <c r="E4">
        <f>VLOOKUP($A4,'Case-4'!$A$1:$AN$21,24,FALSE)</f>
        <v>0</v>
      </c>
      <c r="F4">
        <f>VLOOKUP($A4,'Case-5'!$A$1:$AN$21,24,FALSE)</f>
        <v>0</v>
      </c>
      <c r="G4">
        <f>VLOOKUP($A4,'Case-6'!$A$1:$AN$21,24,FALSE)</f>
        <v>0</v>
      </c>
    </row>
    <row r="5" spans="1:7">
      <c r="A5" s="3">
        <v>24</v>
      </c>
      <c r="B5">
        <f>VLOOKUP($A5,'Case-1'!$A$1:$AN$21,24,FALSE)</f>
        <v>0</v>
      </c>
      <c r="C5">
        <f>VLOOKUP($A5,'Case-2'!$A$1:$AN$21,24,FALSE)</f>
        <v>0</v>
      </c>
      <c r="D5">
        <f>VLOOKUP($A5,'Case-3'!$A$1:$AN$21,24,FALSE)</f>
        <v>0</v>
      </c>
      <c r="E5">
        <f>VLOOKUP($A5,'Case-4'!$A$1:$AN$21,24,FALSE)</f>
        <v>0</v>
      </c>
      <c r="F5">
        <f>VLOOKUP($A5,'Case-5'!$A$1:$AN$21,24,FALSE)</f>
        <v>0</v>
      </c>
      <c r="G5">
        <f>VLOOKUP($A5,'Case-6'!$A$1:$AN$21,24,FALSE)</f>
        <v>0</v>
      </c>
    </row>
    <row r="6" spans="1:7">
      <c r="A6" s="2">
        <v>30</v>
      </c>
      <c r="B6">
        <f>VLOOKUP($A6,'Case-1'!$A$1:$AN$21,24,FALSE)</f>
        <v>0</v>
      </c>
      <c r="C6">
        <f>VLOOKUP($A6,'Case-2'!$A$1:$AN$21,24,FALSE)</f>
        <v>0</v>
      </c>
      <c r="D6">
        <f>VLOOKUP($A6,'Case-3'!$A$1:$AN$21,24,FALSE)</f>
        <v>0</v>
      </c>
      <c r="E6">
        <f>VLOOKUP($A6,'Case-4'!$A$1:$AN$21,24,FALSE)</f>
        <v>0</v>
      </c>
      <c r="F6">
        <f>VLOOKUP($A6,'Case-5'!$A$1:$AN$21,24,FALSE)</f>
        <v>0</v>
      </c>
      <c r="G6">
        <f>VLOOKUP($A6,'Case-6'!$A$1:$AN$21,24,FALSE)</f>
        <v>0</v>
      </c>
    </row>
    <row r="7" spans="1:7">
      <c r="A7" s="3">
        <v>36</v>
      </c>
      <c r="B7">
        <f>VLOOKUP($A7,'Case-1'!$A$1:$AN$21,24,FALSE)</f>
        <v>0.03</v>
      </c>
      <c r="C7">
        <f>VLOOKUP($A7,'Case-2'!$A$1:$AN$21,24,FALSE)</f>
        <v>7.0000000000000007E-2</v>
      </c>
      <c r="D7">
        <f>VLOOKUP($A7,'Case-3'!$A$1:$AN$21,24,FALSE)</f>
        <v>0.02</v>
      </c>
      <c r="E7">
        <f>VLOOKUP($A7,'Case-4'!$A$1:$AN$21,24,FALSE)</f>
        <v>0</v>
      </c>
      <c r="F7">
        <f>VLOOKUP($A7,'Case-5'!$A$1:$AN$21,24,FALSE)</f>
        <v>0.05</v>
      </c>
      <c r="G7">
        <f>VLOOKUP($A7,'Case-6'!$A$1:$AN$21,24,FALSE)</f>
        <v>0.02</v>
      </c>
    </row>
    <row r="8" spans="1:7">
      <c r="A8" s="2">
        <v>42</v>
      </c>
      <c r="B8">
        <f>VLOOKUP($A8,'Case-1'!$A$1:$AN$21,24,FALSE)</f>
        <v>0.13</v>
      </c>
      <c r="C8">
        <f>VLOOKUP($A8,'Case-2'!$A$1:$AN$21,24,FALSE)</f>
        <v>7.0000000000000007E-2</v>
      </c>
      <c r="D8">
        <f>VLOOKUP($A8,'Case-3'!$A$1:$AN$21,24,FALSE)</f>
        <v>7.0000000000000007E-2</v>
      </c>
      <c r="E8">
        <f>VLOOKUP($A8,'Case-4'!$A$1:$AN$21,24,FALSE)</f>
        <v>0.09</v>
      </c>
      <c r="F8">
        <f>VLOOKUP($A8,'Case-5'!$A$1:$AN$21,24,FALSE)</f>
        <v>0.1</v>
      </c>
      <c r="G8">
        <f>VLOOKUP($A8,'Case-6'!$A$1:$AN$21,24,FALSE)</f>
        <v>0.13</v>
      </c>
    </row>
    <row r="9" spans="1:7">
      <c r="A9" s="3">
        <v>48</v>
      </c>
      <c r="B9">
        <f>VLOOKUP($A9,'Case-1'!$A$1:$AN$21,24,FALSE)</f>
        <v>0.22</v>
      </c>
      <c r="C9">
        <f>VLOOKUP($A9,'Case-2'!$A$1:$AN$21,24,FALSE)</f>
        <v>0.25</v>
      </c>
      <c r="D9">
        <f>VLOOKUP($A9,'Case-3'!$A$1:$AN$21,24,FALSE)</f>
        <v>0.19</v>
      </c>
      <c r="E9">
        <f>VLOOKUP($A9,'Case-4'!$A$1:$AN$21,24,FALSE)</f>
        <v>0.19</v>
      </c>
      <c r="F9">
        <f>VLOOKUP($A9,'Case-5'!$A$1:$AN$21,24,FALSE)</f>
        <v>0.17</v>
      </c>
      <c r="G9">
        <f>VLOOKUP($A9,'Case-6'!$A$1:$AN$21,24,FALSE)</f>
        <v>0.28000000000000003</v>
      </c>
    </row>
    <row r="10" spans="1:7">
      <c r="A10" s="2">
        <v>54</v>
      </c>
      <c r="B10">
        <f>VLOOKUP($A10,'Case-1'!$A$1:$AN$21,24,FALSE)</f>
        <v>0.26</v>
      </c>
      <c r="C10">
        <f>VLOOKUP($A10,'Case-2'!$A$1:$AN$21,24,FALSE)</f>
        <v>0.24</v>
      </c>
      <c r="D10">
        <f>VLOOKUP($A10,'Case-3'!$A$1:$AN$21,24,FALSE)</f>
        <v>0.33</v>
      </c>
      <c r="E10">
        <f>VLOOKUP($A10,'Case-4'!$A$1:$AN$21,24,FALSE)</f>
        <v>0.4</v>
      </c>
      <c r="F10">
        <f>VLOOKUP($A10,'Case-5'!$A$1:$AN$21,24,FALSE)</f>
        <v>0.41</v>
      </c>
      <c r="G10">
        <f>VLOOKUP($A10,'Case-6'!$A$1:$AN$21,24,FALSE)</f>
        <v>0.49</v>
      </c>
    </row>
    <row r="11" spans="1:7">
      <c r="A11" s="3">
        <v>60</v>
      </c>
      <c r="B11">
        <f>VLOOKUP($A11,'Case-1'!$A$1:$AN$21,24,FALSE)</f>
        <v>0.41</v>
      </c>
      <c r="C11">
        <f>VLOOKUP($A11,'Case-2'!$A$1:$AN$21,24,FALSE)</f>
        <v>0.38</v>
      </c>
      <c r="D11">
        <f>VLOOKUP($A11,'Case-3'!$A$1:$AN$21,24,FALSE)</f>
        <v>0.48</v>
      </c>
      <c r="E11">
        <f>VLOOKUP($A11,'Case-4'!$A$1:$AN$21,24,FALSE)</f>
        <v>0.34</v>
      </c>
      <c r="F11">
        <f>VLOOKUP($A11,'Case-5'!$A$1:$AN$21,24,FALSE)</f>
        <v>0.53</v>
      </c>
      <c r="G11">
        <f>VLOOKUP($A11,'Case-6'!$A$1:$AN$21,24,FALSE)</f>
        <v>0.62</v>
      </c>
    </row>
    <row r="12" spans="1:7">
      <c r="A12" s="2">
        <v>66</v>
      </c>
      <c r="B12">
        <f>VLOOKUP($A12,'Case-1'!$A$1:$AN$21,24,FALSE)</f>
        <v>0.49</v>
      </c>
      <c r="C12">
        <f>VLOOKUP($A12,'Case-2'!$A$1:$AN$21,24,FALSE)</f>
        <v>0.46450000000000002</v>
      </c>
      <c r="D12">
        <f>VLOOKUP($A12,'Case-3'!$A$1:$AN$21,24,FALSE)</f>
        <v>0.61</v>
      </c>
      <c r="E12">
        <f>VLOOKUP($A12,'Case-4'!$A$1:$AN$21,24,FALSE)</f>
        <v>0.63</v>
      </c>
      <c r="F12">
        <f>VLOOKUP($A12,'Case-5'!$A$1:$AN$21,24,FALSE)</f>
        <v>0.72</v>
      </c>
      <c r="G12">
        <f>VLOOKUP($A12,'Case-6'!$A$1:$AN$21,24,FALSE)</f>
        <v>0.81</v>
      </c>
    </row>
    <row r="13" spans="1:7">
      <c r="A13" s="3">
        <v>72</v>
      </c>
      <c r="B13">
        <f>VLOOKUP($A13,'Case-1'!$A$1:$AN$21,24,FALSE)</f>
        <v>0.54</v>
      </c>
      <c r="C13">
        <f>VLOOKUP($A13,'Case-2'!$A$1:$AN$21,24,FALSE)</f>
        <v>0.53</v>
      </c>
      <c r="D13">
        <f>VLOOKUP($A13,'Case-3'!$A$1:$AN$21,24,FALSE)</f>
        <v>0.57999999999999996</v>
      </c>
      <c r="E13">
        <f>VLOOKUP($A13,'Case-4'!$A$1:$AN$21,24,FALSE)</f>
        <v>0.73</v>
      </c>
      <c r="F13">
        <f>VLOOKUP($A13,'Case-5'!$A$1:$AN$21,24,FALSE)</f>
        <v>0.76</v>
      </c>
      <c r="G13">
        <f>VLOOKUP($A13,'Case-6'!$A$1:$AN$21,24,FALSE)</f>
        <v>0.89</v>
      </c>
    </row>
    <row r="14" spans="1:7">
      <c r="A14" s="2">
        <v>78</v>
      </c>
      <c r="B14">
        <f>VLOOKUP($A14,'Case-1'!$A$1:$AN$21,24,FALSE)</f>
        <v>0.53449999999999998</v>
      </c>
      <c r="C14">
        <f>VLOOKUP($A14,'Case-2'!$A$1:$AN$21,24,FALSE)</f>
        <v>0.59</v>
      </c>
      <c r="D14">
        <f>VLOOKUP($A14,'Case-3'!$A$1:$AN$21,24,FALSE)</f>
        <v>0.71</v>
      </c>
      <c r="E14">
        <f>VLOOKUP($A14,'Case-4'!$A$1:$AN$21,24,FALSE)</f>
        <v>0.83</v>
      </c>
      <c r="F14">
        <f>VLOOKUP($A14,'Case-5'!$A$1:$AN$21,24,FALSE)</f>
        <v>0.89</v>
      </c>
      <c r="G14">
        <f>VLOOKUP($A14,'Case-6'!$A$1:$AN$21,24,FALSE)</f>
        <v>0.9</v>
      </c>
    </row>
    <row r="15" spans="1:7">
      <c r="A15" s="3">
        <v>84</v>
      </c>
      <c r="B15">
        <f>VLOOKUP($A15,'Case-1'!$A$1:$AN$21,24,FALSE)</f>
        <v>0.68</v>
      </c>
      <c r="C15">
        <f>VLOOKUP($A15,'Case-2'!$A$1:$AN$21,24,FALSE)</f>
        <v>0.74</v>
      </c>
      <c r="D15">
        <f>VLOOKUP($A15,'Case-3'!$A$1:$AN$21,24,FALSE)</f>
        <v>0.82</v>
      </c>
      <c r="E15">
        <f>VLOOKUP($A15,'Case-4'!$A$1:$AN$21,24,FALSE)</f>
        <v>0.84</v>
      </c>
      <c r="F15">
        <f>VLOOKUP($A15,'Case-5'!$A$1:$AN$21,24,FALSE)</f>
        <v>0.89</v>
      </c>
      <c r="G15">
        <f>VLOOKUP($A15,'Case-6'!$A$1:$AN$21,24,FALSE)</f>
        <v>0.97</v>
      </c>
    </row>
    <row r="16" spans="1:7">
      <c r="A16" s="2">
        <v>90</v>
      </c>
      <c r="B16">
        <f>VLOOKUP($A16,'Case-1'!$A$1:$AN$21,24,FALSE)</f>
        <v>0.77</v>
      </c>
      <c r="C16">
        <f>VLOOKUP($A16,'Case-2'!$A$1:$AN$21,24,FALSE)</f>
        <v>0.78</v>
      </c>
      <c r="D16">
        <f>VLOOKUP($A16,'Case-3'!$A$1:$AN$21,24,FALSE)</f>
        <v>0.81</v>
      </c>
      <c r="E16">
        <f>VLOOKUP($A16,'Case-4'!$A$1:$AN$21,24,FALSE)</f>
        <v>0.89</v>
      </c>
      <c r="F16">
        <f>VLOOKUP($A16,'Case-5'!$A$1:$AN$21,24,FALSE)</f>
        <v>0.93</v>
      </c>
      <c r="G16">
        <f>VLOOKUP($A16,'Case-6'!$A$1:$AN$21,24,FALSE)</f>
        <v>0.95</v>
      </c>
    </row>
    <row r="17" spans="1:7">
      <c r="A17" s="3">
        <v>96</v>
      </c>
      <c r="B17">
        <f>VLOOKUP($A17,'Case-1'!$A$1:$AN$21,24,FALSE)</f>
        <v>0.77</v>
      </c>
      <c r="C17">
        <f>VLOOKUP($A17,'Case-2'!$A$1:$AN$21,24,FALSE)</f>
        <v>0.86</v>
      </c>
      <c r="D17">
        <f>VLOOKUP($A17,'Case-3'!$A$1:$AN$21,24,FALSE)</f>
        <v>0.85</v>
      </c>
      <c r="E17">
        <f>VLOOKUP($A17,'Case-4'!$A$1:$AN$21,24,FALSE)</f>
        <v>0.94</v>
      </c>
      <c r="F17">
        <f>VLOOKUP($A17,'Case-5'!$A$1:$AN$21,24,FALSE)</f>
        <v>0.94</v>
      </c>
      <c r="G17">
        <f>VLOOKUP($A17,'Case-6'!$A$1:$AN$21,24,FALSE)</f>
        <v>0.97</v>
      </c>
    </row>
    <row r="18" spans="1:7">
      <c r="A18" s="2">
        <v>102</v>
      </c>
      <c r="B18">
        <f>VLOOKUP($A18,'Case-1'!$A$1:$AN$21,24,FALSE)</f>
        <v>0.77</v>
      </c>
      <c r="C18">
        <f>VLOOKUP($A18,'Case-2'!$A$1:$AN$21,24,FALSE)</f>
        <v>0.93</v>
      </c>
      <c r="D18">
        <f>VLOOKUP($A18,'Case-3'!$A$1:$AN$21,24,FALSE)</f>
        <v>0.91</v>
      </c>
      <c r="E18">
        <f>VLOOKUP($A18,'Case-4'!$A$1:$AN$21,24,FALSE)</f>
        <v>0.94</v>
      </c>
      <c r="F18">
        <f>VLOOKUP($A18,'Case-5'!$A$1:$AN$21,24,FALSE)</f>
        <v>0.98</v>
      </c>
      <c r="G18">
        <f>VLOOKUP($A18,'Case-6'!$A$1:$AN$21,24,FALSE)</f>
        <v>1</v>
      </c>
    </row>
    <row r="19" spans="1:7">
      <c r="A19" s="3">
        <v>108</v>
      </c>
      <c r="B19">
        <f>VLOOKUP($A19,'Case-1'!$A$1:$AN$21,24,FALSE)</f>
        <v>0.85</v>
      </c>
      <c r="C19">
        <f>VLOOKUP($A19,'Case-2'!$A$1:$AN$21,24,FALSE)</f>
        <v>0.86</v>
      </c>
      <c r="D19">
        <f>VLOOKUP($A19,'Case-3'!$A$1:$AN$21,24,FALSE)</f>
        <v>0.91</v>
      </c>
      <c r="E19">
        <f>VLOOKUP($A19,'Case-4'!$A$1:$AN$21,24,FALSE)</f>
        <v>0.95</v>
      </c>
      <c r="F19">
        <f>VLOOKUP($A19,'Case-5'!$A$1:$AN$21,24,FALSE)</f>
        <v>0.98</v>
      </c>
      <c r="G19">
        <f>VLOOKUP($A19,'Case-6'!$A$1:$AN$21,24,FALSE)</f>
        <v>1</v>
      </c>
    </row>
    <row r="20" spans="1:7">
      <c r="A20" s="2">
        <v>114</v>
      </c>
      <c r="B20">
        <f>VLOOKUP($A20,'Case-1'!$A$1:$AN$21,24,FALSE)</f>
        <v>0.88</v>
      </c>
      <c r="C20">
        <f>VLOOKUP($A20,'Case-2'!$A$1:$AN$21,24,FALSE)</f>
        <v>0.92</v>
      </c>
      <c r="D20">
        <f>VLOOKUP($A20,'Case-3'!$A$1:$AN$21,24,FALSE)</f>
        <v>0.93</v>
      </c>
      <c r="E20">
        <f>VLOOKUP($A20,'Case-4'!$A$1:$AN$21,24,FALSE)</f>
        <v>0.99</v>
      </c>
      <c r="F20">
        <f>VLOOKUP($A20,'Case-5'!$A$1:$AN$21,24,FALSE)</f>
        <v>1</v>
      </c>
      <c r="G20">
        <f>VLOOKUP($A20,'Case-6'!$A$1:$AN$21,24,FALSE)</f>
        <v>0.99</v>
      </c>
    </row>
    <row r="21" spans="1:7">
      <c r="A21" s="3">
        <v>120</v>
      </c>
      <c r="B21">
        <f>VLOOKUP($A21,'Case-1'!$A$1:$AN$21,24,FALSE)</f>
        <v>0.92</v>
      </c>
      <c r="C21">
        <f>VLOOKUP($A21,'Case-2'!$A$1:$AN$21,24,FALSE)</f>
        <v>0.91</v>
      </c>
      <c r="D21">
        <f>VLOOKUP($A21,'Case-3'!$A$1:$AN$21,24,FALSE)</f>
        <v>0.97</v>
      </c>
      <c r="E21">
        <f>VLOOKUP($A21,'Case-4'!$A$1:$AN$21,24,FALSE)</f>
        <v>0.98</v>
      </c>
      <c r="F21">
        <f>VLOOKUP($A21,'Case-5'!$A$1:$AN$21,24,FALSE)</f>
        <v>0.99</v>
      </c>
      <c r="G21">
        <f>VLOOKUP($A21,'Case-6'!$A$1:$AN$21,24,FALSE)</f>
        <v>1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99D5-DBDD-4D52-A8BD-2DF77AA7C819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VLOOKUP($A2,'Case-1'!$A$1:$AN$21,25,FALSE)</f>
        <v>0.38006031385281369</v>
      </c>
      <c r="C2">
        <f>VLOOKUP($A2,'Case-2'!$A$1:$AN$21,25,FALSE)</f>
        <v>0.38704156565656561</v>
      </c>
      <c r="D2">
        <f>VLOOKUP($A2,'Case-3'!$A$1:$AN$21,25,FALSE)</f>
        <v>0.3768051840033031</v>
      </c>
      <c r="E2">
        <f>VLOOKUP($A2,'Case-4'!$A$1:$AN$21,25,FALSE)</f>
        <v>0.32873009490509469</v>
      </c>
      <c r="F2">
        <f>VLOOKUP($A2,'Case-5'!$A$1:$AN$21,25,FALSE)</f>
        <v>0.38390224479339019</v>
      </c>
      <c r="G2">
        <f>VLOOKUP($A2,'Case-6'!$A$1:$AN$21,25,FALSE)</f>
        <v>0.31285333450948749</v>
      </c>
    </row>
    <row r="3" spans="1:7">
      <c r="A3" s="3">
        <v>12</v>
      </c>
      <c r="B3">
        <f>VLOOKUP($A3,'Case-1'!$A$1:$AN$21,25,FALSE)</f>
        <v>0.39884498678623892</v>
      </c>
      <c r="C3">
        <f>VLOOKUP($A3,'Case-2'!$A$1:$AN$21,25,FALSE)</f>
        <v>0.37624553938063993</v>
      </c>
      <c r="D3">
        <f>VLOOKUP($A3,'Case-3'!$A$1:$AN$21,25,FALSE)</f>
        <v>0.34729996229835047</v>
      </c>
      <c r="E3">
        <f>VLOOKUP($A3,'Case-4'!$A$1:$AN$21,25,FALSE)</f>
        <v>0.33473959657898822</v>
      </c>
      <c r="F3">
        <f>VLOOKUP($A3,'Case-5'!$A$1:$AN$21,25,FALSE)</f>
        <v>0.33069295031505869</v>
      </c>
      <c r="G3">
        <f>VLOOKUP($A3,'Case-6'!$A$1:$AN$21,25,FALSE)</f>
        <v>0.32365730038352319</v>
      </c>
    </row>
    <row r="4" spans="1:7">
      <c r="A4" s="2">
        <v>18</v>
      </c>
      <c r="B4">
        <f>VLOOKUP($A4,'Case-1'!$A$1:$AN$21,25,FALSE)</f>
        <v>0.39502933431375697</v>
      </c>
      <c r="C4">
        <f>VLOOKUP($A4,'Case-2'!$A$1:$AN$21,25,FALSE)</f>
        <v>0.39554535833392679</v>
      </c>
      <c r="D4">
        <f>VLOOKUP($A4,'Case-3'!$A$1:$AN$21,25,FALSE)</f>
        <v>0.35926084433822097</v>
      </c>
      <c r="E4">
        <f>VLOOKUP($A4,'Case-4'!$A$1:$AN$21,25,FALSE)</f>
        <v>0.3389583464714373</v>
      </c>
      <c r="F4">
        <f>VLOOKUP($A4,'Case-5'!$A$1:$AN$21,25,FALSE)</f>
        <v>0.33643048721130142</v>
      </c>
      <c r="G4">
        <f>VLOOKUP($A4,'Case-6'!$A$1:$AN$21,25,FALSE)</f>
        <v>0.33137352698086242</v>
      </c>
    </row>
    <row r="5" spans="1:7">
      <c r="A5" s="3">
        <v>24</v>
      </c>
      <c r="B5">
        <f>VLOOKUP($A5,'Case-1'!$A$1:$AN$21,25,FALSE)</f>
        <v>0.38703975398803803</v>
      </c>
      <c r="C5">
        <f>VLOOKUP($A5,'Case-2'!$A$1:$AN$21,25,FALSE)</f>
        <v>0.38558350420307769</v>
      </c>
      <c r="D5">
        <f>VLOOKUP($A5,'Case-3'!$A$1:$AN$21,25,FALSE)</f>
        <v>0.36133168080374978</v>
      </c>
      <c r="E5">
        <f>VLOOKUP($A5,'Case-4'!$A$1:$AN$21,25,FALSE)</f>
        <v>0.34135734958293251</v>
      </c>
      <c r="F5">
        <f>VLOOKUP($A5,'Case-5'!$A$1:$AN$21,25,FALSE)</f>
        <v>0.33521799324060858</v>
      </c>
      <c r="G5">
        <f>VLOOKUP($A5,'Case-6'!$A$1:$AN$21,25,FALSE)</f>
        <v>0.33023943728163441</v>
      </c>
    </row>
    <row r="6" spans="1:7">
      <c r="A6" s="2">
        <v>30</v>
      </c>
      <c r="B6">
        <f>VLOOKUP($A6,'Case-1'!$A$1:$AN$21,25,FALSE)</f>
        <v>0.39989836721549488</v>
      </c>
      <c r="C6">
        <f>VLOOKUP($A6,'Case-2'!$A$1:$AN$21,25,FALSE)</f>
        <v>0.37984665866211159</v>
      </c>
      <c r="D6">
        <f>VLOOKUP($A6,'Case-3'!$A$1:$AN$21,25,FALSE)</f>
        <v>0.35913889914754121</v>
      </c>
      <c r="E6">
        <f>VLOOKUP($A6,'Case-4'!$A$1:$AN$21,25,FALSE)</f>
        <v>0.3481080634325508</v>
      </c>
      <c r="F6">
        <f>VLOOKUP($A6,'Case-5'!$A$1:$AN$21,25,FALSE)</f>
        <v>0.33932332792444903</v>
      </c>
      <c r="G6">
        <f>VLOOKUP($A6,'Case-6'!$A$1:$AN$21,25,FALSE)</f>
        <v>0.33401839254244148</v>
      </c>
    </row>
    <row r="7" spans="1:7">
      <c r="A7" s="3">
        <v>36</v>
      </c>
      <c r="B7">
        <f>VLOOKUP($A7,'Case-1'!$A$1:$AN$21,25,FALSE)</f>
        <v>0.40066520429099128</v>
      </c>
      <c r="C7">
        <f>VLOOKUP($A7,'Case-2'!$A$1:$AN$21,25,FALSE)</f>
        <v>0.38678039023877558</v>
      </c>
      <c r="D7">
        <f>VLOOKUP($A7,'Case-3'!$A$1:$AN$21,25,FALSE)</f>
        <v>0.35625887655087918</v>
      </c>
      <c r="E7">
        <f>VLOOKUP($A7,'Case-4'!$A$1:$AN$21,25,FALSE)</f>
        <v>0.34691790169878939</v>
      </c>
      <c r="F7">
        <f>VLOOKUP($A7,'Case-5'!$A$1:$AN$21,25,FALSE)</f>
        <v>0.33514395883287079</v>
      </c>
      <c r="G7">
        <f>VLOOKUP($A7,'Case-6'!$A$1:$AN$21,25,FALSE)</f>
        <v>0.33327787090794753</v>
      </c>
    </row>
    <row r="8" spans="1:7">
      <c r="A8" s="2">
        <v>42</v>
      </c>
      <c r="B8">
        <f>VLOOKUP($A8,'Case-1'!$A$1:$AN$21,25,FALSE)</f>
        <v>0.38930826788962858</v>
      </c>
      <c r="C8">
        <f>VLOOKUP($A8,'Case-2'!$A$1:$AN$21,25,FALSE)</f>
        <v>0.38447374120169292</v>
      </c>
      <c r="D8">
        <f>VLOOKUP($A8,'Case-3'!$A$1:$AN$21,25,FALSE)</f>
        <v>0.36131782055929562</v>
      </c>
      <c r="E8">
        <f>VLOOKUP($A8,'Case-4'!$A$1:$AN$21,25,FALSE)</f>
        <v>0.34481690669971932</v>
      </c>
      <c r="F8">
        <f>VLOOKUP($A8,'Case-5'!$A$1:$AN$21,25,FALSE)</f>
        <v>0.34052625474842307</v>
      </c>
      <c r="G8">
        <f>VLOOKUP($A8,'Case-6'!$A$1:$AN$21,25,FALSE)</f>
        <v>0.3336160665290886</v>
      </c>
    </row>
    <row r="9" spans="1:7">
      <c r="A9" s="3">
        <v>48</v>
      </c>
      <c r="B9">
        <f>VLOOKUP($A9,'Case-1'!$A$1:$AN$21,25,FALSE)</f>
        <v>0.3975654896181986</v>
      </c>
      <c r="C9">
        <f>VLOOKUP($A9,'Case-2'!$A$1:$AN$21,25,FALSE)</f>
        <v>0.38618133564721552</v>
      </c>
      <c r="D9">
        <f>VLOOKUP($A9,'Case-3'!$A$1:$AN$21,25,FALSE)</f>
        <v>0.35856205188173429</v>
      </c>
      <c r="E9">
        <f>VLOOKUP($A9,'Case-4'!$A$1:$AN$21,25,FALSE)</f>
        <v>0.34661170441003331</v>
      </c>
      <c r="F9">
        <f>VLOOKUP($A9,'Case-5'!$A$1:$AN$21,25,FALSE)</f>
        <v>0.34050380022638388</v>
      </c>
      <c r="G9">
        <f>VLOOKUP($A9,'Case-6'!$A$1:$AN$21,25,FALSE)</f>
        <v>0.3347072030286693</v>
      </c>
    </row>
    <row r="10" spans="1:7">
      <c r="A10" s="2">
        <v>54</v>
      </c>
      <c r="B10">
        <f>VLOOKUP($A10,'Case-1'!$A$1:$AN$21,25,FALSE)</f>
        <v>0.393744108884579</v>
      </c>
      <c r="C10">
        <f>VLOOKUP($A10,'Case-2'!$A$1:$AN$21,25,FALSE)</f>
        <v>0.38472421925135858</v>
      </c>
      <c r="D10">
        <f>VLOOKUP($A10,'Case-3'!$A$1:$AN$21,25,FALSE)</f>
        <v>0.35909764428007879</v>
      </c>
      <c r="E10">
        <f>VLOOKUP($A10,'Case-4'!$A$1:$AN$21,25,FALSE)</f>
        <v>0.34754704986247242</v>
      </c>
      <c r="F10">
        <f>VLOOKUP($A10,'Case-5'!$A$1:$AN$21,25,FALSE)</f>
        <v>0.33991585741950969</v>
      </c>
      <c r="G10">
        <f>VLOOKUP($A10,'Case-6'!$A$1:$AN$21,25,FALSE)</f>
        <v>0.33428800416571358</v>
      </c>
    </row>
    <row r="11" spans="1:7">
      <c r="A11" s="3">
        <v>60</v>
      </c>
      <c r="B11">
        <f>VLOOKUP($A11,'Case-1'!$A$1:$AN$21,25,FALSE)</f>
        <v>0.39667091820758937</v>
      </c>
      <c r="C11">
        <f>VLOOKUP($A11,'Case-2'!$A$1:$AN$21,25,FALSE)</f>
        <v>0.38262291736445558</v>
      </c>
      <c r="D11">
        <f>VLOOKUP($A11,'Case-3'!$A$1:$AN$21,25,FALSE)</f>
        <v>0.36062154004994862</v>
      </c>
      <c r="E11">
        <f>VLOOKUP($A11,'Case-4'!$A$1:$AN$21,25,FALSE)</f>
        <v>0.34778737113657932</v>
      </c>
      <c r="F11">
        <f>VLOOKUP($A11,'Case-5'!$A$1:$AN$21,25,FALSE)</f>
        <v>0.34000570290715548</v>
      </c>
      <c r="G11">
        <f>VLOOKUP($A11,'Case-6'!$A$1:$AN$21,25,FALSE)</f>
        <v>0.3357840539007656</v>
      </c>
    </row>
    <row r="12" spans="1:7">
      <c r="A12" s="2">
        <v>66</v>
      </c>
      <c r="B12">
        <f>VLOOKUP($A12,'Case-1'!$A$1:$AN$21,25,FALSE)</f>
        <v>0.39443865544981649</v>
      </c>
      <c r="C12">
        <f>VLOOKUP($A12,'Case-2'!$A$1:$AN$21,25,FALSE)</f>
        <v>0.38495592905027709</v>
      </c>
      <c r="D12">
        <f>VLOOKUP($A12,'Case-3'!$A$1:$AN$21,25,FALSE)</f>
        <v>0.36195510891724381</v>
      </c>
      <c r="E12">
        <f>VLOOKUP($A12,'Case-4'!$A$1:$AN$21,25,FALSE)</f>
        <v>0.34675057635277989</v>
      </c>
      <c r="F12">
        <f>VLOOKUP($A12,'Case-5'!$A$1:$AN$21,25,FALSE)</f>
        <v>0.34288045589910932</v>
      </c>
      <c r="G12">
        <f>VLOOKUP($A12,'Case-6'!$A$1:$AN$21,25,FALSE)</f>
        <v>0.33432773260196591</v>
      </c>
    </row>
    <row r="13" spans="1:7">
      <c r="A13" s="3">
        <v>72</v>
      </c>
      <c r="B13">
        <f>VLOOKUP($A13,'Case-1'!$A$1:$AN$21,25,FALSE)</f>
        <v>0.39347438494626968</v>
      </c>
      <c r="C13">
        <f>VLOOKUP($A13,'Case-2'!$A$1:$AN$21,25,FALSE)</f>
        <v>0.38707677285761788</v>
      </c>
      <c r="D13">
        <f>VLOOKUP($A13,'Case-3'!$A$1:$AN$21,25,FALSE)</f>
        <v>0.35797229311689699</v>
      </c>
      <c r="E13">
        <f>VLOOKUP($A13,'Case-4'!$A$1:$AN$21,25,FALSE)</f>
        <v>0.34825373324642839</v>
      </c>
      <c r="F13">
        <f>VLOOKUP($A13,'Case-5'!$A$1:$AN$21,25,FALSE)</f>
        <v>0.34068533952113422</v>
      </c>
      <c r="G13">
        <f>VLOOKUP($A13,'Case-6'!$A$1:$AN$21,25,FALSE)</f>
        <v>0.33577617159578638</v>
      </c>
    </row>
    <row r="14" spans="1:7">
      <c r="A14" s="2">
        <v>78</v>
      </c>
      <c r="B14">
        <f>VLOOKUP($A14,'Case-1'!$A$1:$AN$21,25,FALSE)</f>
        <v>0.39529919047607809</v>
      </c>
      <c r="C14">
        <f>VLOOKUP($A14,'Case-2'!$A$1:$AN$21,25,FALSE)</f>
        <v>0.38674253208765258</v>
      </c>
      <c r="D14">
        <f>VLOOKUP($A14,'Case-3'!$A$1:$AN$21,25,FALSE)</f>
        <v>0.36175976327802822</v>
      </c>
      <c r="E14">
        <f>VLOOKUP($A14,'Case-4'!$A$1:$AN$21,25,FALSE)</f>
        <v>0.3496648923608901</v>
      </c>
      <c r="F14">
        <f>VLOOKUP($A14,'Case-5'!$A$1:$AN$21,25,FALSE)</f>
        <v>0.34104177722350459</v>
      </c>
      <c r="G14">
        <f>VLOOKUP($A14,'Case-6'!$A$1:$AN$21,25,FALSE)</f>
        <v>0.33515521139777832</v>
      </c>
    </row>
    <row r="15" spans="1:7">
      <c r="A15" s="3">
        <v>84</v>
      </c>
      <c r="B15">
        <f>VLOOKUP($A15,'Case-1'!$A$1:$AN$21,25,FALSE)</f>
        <v>0.39431850453829892</v>
      </c>
      <c r="C15">
        <f>VLOOKUP($A15,'Case-2'!$A$1:$AN$21,25,FALSE)</f>
        <v>0.39266638411430299</v>
      </c>
      <c r="D15">
        <f>VLOOKUP($A15,'Case-3'!$A$1:$AN$21,25,FALSE)</f>
        <v>0.36320411396619579</v>
      </c>
      <c r="E15">
        <f>VLOOKUP($A15,'Case-4'!$A$1:$AN$21,25,FALSE)</f>
        <v>0.35087747477357589</v>
      </c>
      <c r="F15">
        <f>VLOOKUP($A15,'Case-5'!$A$1:$AN$21,25,FALSE)</f>
        <v>0.33819514833018921</v>
      </c>
      <c r="G15">
        <f>VLOOKUP($A15,'Case-6'!$A$1:$AN$21,25,FALSE)</f>
        <v>0.33459539269127658</v>
      </c>
    </row>
    <row r="16" spans="1:7">
      <c r="A16" s="2">
        <v>90</v>
      </c>
      <c r="B16">
        <f>VLOOKUP($A16,'Case-1'!$A$1:$AN$21,25,FALSE)</f>
        <v>0.39219048853572969</v>
      </c>
      <c r="C16">
        <f>VLOOKUP($A16,'Case-2'!$A$1:$AN$21,25,FALSE)</f>
        <v>0.38623287629306918</v>
      </c>
      <c r="D16">
        <f>VLOOKUP($A16,'Case-3'!$A$1:$AN$21,25,FALSE)</f>
        <v>0.35954455286906212</v>
      </c>
      <c r="E16">
        <f>VLOOKUP($A16,'Case-4'!$A$1:$AN$21,25,FALSE)</f>
        <v>0.35377989304708302</v>
      </c>
      <c r="F16">
        <f>VLOOKUP($A16,'Case-5'!$A$1:$AN$21,25,FALSE)</f>
        <v>0.34258570529843418</v>
      </c>
      <c r="G16">
        <f>VLOOKUP($A16,'Case-6'!$A$1:$AN$21,25,FALSE)</f>
        <v>0.33577729953876312</v>
      </c>
    </row>
    <row r="17" spans="1:7">
      <c r="A17" s="3">
        <v>96</v>
      </c>
      <c r="B17">
        <f>VLOOKUP($A17,'Case-1'!$A$1:$AN$21,25,FALSE)</f>
        <v>0.39828519262546502</v>
      </c>
      <c r="C17">
        <f>VLOOKUP($A17,'Case-2'!$A$1:$AN$21,25,FALSE)</f>
        <v>0.38754457156396632</v>
      </c>
      <c r="D17">
        <f>VLOOKUP($A17,'Case-3'!$A$1:$AN$21,25,FALSE)</f>
        <v>0.36304241721869979</v>
      </c>
      <c r="E17">
        <f>VLOOKUP($A17,'Case-4'!$A$1:$AN$21,25,FALSE)</f>
        <v>0.35083709982217748</v>
      </c>
      <c r="F17">
        <f>VLOOKUP($A17,'Case-5'!$A$1:$AN$21,25,FALSE)</f>
        <v>0.34111222506100169</v>
      </c>
      <c r="G17">
        <f>VLOOKUP($A17,'Case-6'!$A$1:$AN$21,25,FALSE)</f>
        <v>0.33563187842714498</v>
      </c>
    </row>
    <row r="18" spans="1:7">
      <c r="A18" s="2">
        <v>102</v>
      </c>
      <c r="B18">
        <f>VLOOKUP($A18,'Case-1'!$A$1:$AN$21,25,FALSE)</f>
        <v>0.39957920374950018</v>
      </c>
      <c r="C18">
        <f>VLOOKUP($A18,'Case-2'!$A$1:$AN$21,25,FALSE)</f>
        <v>0.39017779123863011</v>
      </c>
      <c r="D18">
        <f>VLOOKUP($A18,'Case-3'!$A$1:$AN$21,25,FALSE)</f>
        <v>0.36092589070841391</v>
      </c>
      <c r="E18">
        <f>VLOOKUP($A18,'Case-4'!$A$1:$AN$21,25,FALSE)</f>
        <v>0.35144627862326783</v>
      </c>
      <c r="F18">
        <f>VLOOKUP($A18,'Case-5'!$A$1:$AN$21,25,FALSE)</f>
        <v>0.34320446493696699</v>
      </c>
      <c r="G18">
        <f>VLOOKUP($A18,'Case-6'!$A$1:$AN$21,25,FALSE)</f>
        <v>0.33763917896664691</v>
      </c>
    </row>
    <row r="19" spans="1:7">
      <c r="A19" s="3">
        <v>108</v>
      </c>
      <c r="B19">
        <f>VLOOKUP($A19,'Case-1'!$A$1:$AN$21,25,FALSE)</f>
        <v>0.39850830531705439</v>
      </c>
      <c r="C19">
        <f>VLOOKUP($A19,'Case-2'!$A$1:$AN$21,25,FALSE)</f>
        <v>0.38673299386619292</v>
      </c>
      <c r="D19">
        <f>VLOOKUP($A19,'Case-3'!$A$1:$AN$21,25,FALSE)</f>
        <v>0.36114244045511851</v>
      </c>
      <c r="E19">
        <f>VLOOKUP($A19,'Case-4'!$A$1:$AN$21,25,FALSE)</f>
        <v>0.34760878686490859</v>
      </c>
      <c r="F19">
        <f>VLOOKUP($A19,'Case-5'!$A$1:$AN$21,25,FALSE)</f>
        <v>0.34084830967469909</v>
      </c>
      <c r="G19">
        <f>VLOOKUP($A19,'Case-6'!$A$1:$AN$21,25,FALSE)</f>
        <v>0.33604737542158719</v>
      </c>
    </row>
    <row r="20" spans="1:7">
      <c r="A20" s="2">
        <v>114</v>
      </c>
      <c r="B20">
        <f>VLOOKUP($A20,'Case-1'!$A$1:$AN$21,25,FALSE)</f>
        <v>0.39575619408333951</v>
      </c>
      <c r="C20">
        <f>VLOOKUP($A20,'Case-2'!$A$1:$AN$21,25,FALSE)</f>
        <v>0.38922409386116619</v>
      </c>
      <c r="D20">
        <f>VLOOKUP($A20,'Case-3'!$A$1:$AN$21,25,FALSE)</f>
        <v>0.3599830355430616</v>
      </c>
      <c r="E20">
        <f>VLOOKUP($A20,'Case-4'!$A$1:$AN$21,25,FALSE)</f>
        <v>0.34979546525541771</v>
      </c>
      <c r="F20">
        <f>VLOOKUP($A20,'Case-5'!$A$1:$AN$21,25,FALSE)</f>
        <v>0.34045719501516819</v>
      </c>
      <c r="G20">
        <f>VLOOKUP($A20,'Case-6'!$A$1:$AN$21,25,FALSE)</f>
        <v>0.33372057326120408</v>
      </c>
    </row>
    <row r="21" spans="1:7">
      <c r="A21" s="3">
        <v>120</v>
      </c>
      <c r="B21">
        <f>VLOOKUP($A21,'Case-1'!$A$1:$AN$21,25,FALSE)</f>
        <v>0.39753371296370638</v>
      </c>
      <c r="C21">
        <f>VLOOKUP($A21,'Case-2'!$A$1:$AN$21,25,FALSE)</f>
        <v>0.38559671763656689</v>
      </c>
      <c r="D21">
        <f>VLOOKUP($A21,'Case-3'!$A$1:$AN$21,25,FALSE)</f>
        <v>0.36341887654855531</v>
      </c>
      <c r="E21">
        <f>VLOOKUP($A21,'Case-4'!$A$1:$AN$21,25,FALSE)</f>
        <v>0.35201036507065647</v>
      </c>
      <c r="F21">
        <f>VLOOKUP($A21,'Case-5'!$A$1:$AN$21,25,FALSE)</f>
        <v>0.3399388718503536</v>
      </c>
      <c r="G21">
        <f>VLOOKUP($A21,'Case-6'!$A$1:$AN$21,25,FALSE)</f>
        <v>0.3374625713382004</v>
      </c>
    </row>
    <row r="22" spans="1:7">
      <c r="B22">
        <f>AVERAGE(B2:B21)</f>
        <v>0.39491052888662936</v>
      </c>
      <c r="C22">
        <f t="shared" ref="C22:G22" si="0">AVERAGE(C2:C21)</f>
        <v>0.3862997946254631</v>
      </c>
      <c r="D22">
        <f t="shared" si="0"/>
        <v>0.36063214982671887</v>
      </c>
      <c r="E22">
        <f t="shared" si="0"/>
        <v>0.34632994750978907</v>
      </c>
      <c r="F22">
        <f t="shared" si="0"/>
        <v>0.34163060352148561</v>
      </c>
      <c r="G22">
        <f t="shared" si="0"/>
        <v>0.33299742877352434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A1C6-79FB-4C13-98C6-DAD542EB005C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VLOOKUP($A2,'Case-1'!$A$1:$AN$21,26,FALSE)</f>
        <v>0.1160774387261298</v>
      </c>
      <c r="C2">
        <f>VLOOKUP($A2,'Case-2'!$A$1:$AN$21,26,FALSE)</f>
        <v>0.1209815671258006</v>
      </c>
      <c r="D2">
        <f>VLOOKUP($A2,'Case-3'!$A$1:$AN$21,26,FALSE)</f>
        <v>9.558671341810844E-2</v>
      </c>
      <c r="E2">
        <f>VLOOKUP($A2,'Case-4'!$A$1:$AN$21,26,FALSE)</f>
        <v>5.0051110790280733E-2</v>
      </c>
      <c r="F2">
        <f>VLOOKUP($A2,'Case-5'!$A$1:$AN$21,26,FALSE)</f>
        <v>9.9143742185398911E-2</v>
      </c>
      <c r="G2">
        <f>VLOOKUP($A2,'Case-6'!$A$1:$AN$21,26,FALSE)</f>
        <v>1.26819368131229E-2</v>
      </c>
    </row>
    <row r="3" spans="1:7">
      <c r="A3" s="3">
        <v>12</v>
      </c>
      <c r="B3">
        <f>VLOOKUP($A3,'Case-1'!$A$1:$AN$21,26,FALSE)</f>
        <v>7.7197197687342248E-2</v>
      </c>
      <c r="C3">
        <f>VLOOKUP($A3,'Case-2'!$A$1:$AN$21,26,FALSE)</f>
        <v>7.130044930191444E-2</v>
      </c>
      <c r="D3">
        <f>VLOOKUP($A3,'Case-3'!$A$1:$AN$21,26,FALSE)</f>
        <v>4.8388249583719498E-2</v>
      </c>
      <c r="E3">
        <f>VLOOKUP($A3,'Case-4'!$A$1:$AN$21,26,FALSE)</f>
        <v>3.2234268178417187E-2</v>
      </c>
      <c r="F3">
        <f>VLOOKUP($A3,'Case-5'!$A$1:$AN$21,26,FALSE)</f>
        <v>2.0882197335509861E-2</v>
      </c>
      <c r="G3">
        <f>VLOOKUP($A3,'Case-6'!$A$1:$AN$21,26,FALSE)</f>
        <v>8.7357715710929661E-3</v>
      </c>
    </row>
    <row r="4" spans="1:7">
      <c r="A4" s="2">
        <v>18</v>
      </c>
      <c r="B4">
        <f>VLOOKUP($A4,'Case-1'!$A$1:$AN$21,26,FALSE)</f>
        <v>6.5591498508935392E-2</v>
      </c>
      <c r="C4">
        <f>VLOOKUP($A4,'Case-2'!$A$1:$AN$21,26,FALSE)</f>
        <v>5.5750984945180992E-2</v>
      </c>
      <c r="D4">
        <f>VLOOKUP($A4,'Case-3'!$A$1:$AN$21,26,FALSE)</f>
        <v>3.4603415452715038E-2</v>
      </c>
      <c r="E4">
        <f>VLOOKUP($A4,'Case-4'!$A$1:$AN$21,26,FALSE)</f>
        <v>2.6319714730919271E-2</v>
      </c>
      <c r="F4">
        <f>VLOOKUP($A4,'Case-5'!$A$1:$AN$21,26,FALSE)</f>
        <v>1.9923945220248981E-2</v>
      </c>
      <c r="G4">
        <f>VLOOKUP($A4,'Case-6'!$A$1:$AN$21,26,FALSE)</f>
        <v>1.364091447796412E-2</v>
      </c>
    </row>
    <row r="5" spans="1:7">
      <c r="A5" s="3">
        <v>24</v>
      </c>
      <c r="B5">
        <f>VLOOKUP($A5,'Case-1'!$A$1:$AN$21,26,FALSE)</f>
        <v>5.2337986805601047E-2</v>
      </c>
      <c r="C5">
        <f>VLOOKUP($A5,'Case-2'!$A$1:$AN$21,26,FALSE)</f>
        <v>4.6102557035098593E-2</v>
      </c>
      <c r="D5">
        <f>VLOOKUP($A5,'Case-3'!$A$1:$AN$21,26,FALSE)</f>
        <v>3.3052654563268932E-2</v>
      </c>
      <c r="E5">
        <f>VLOOKUP($A5,'Case-4'!$A$1:$AN$21,26,FALSE)</f>
        <v>2.4008178568007861E-2</v>
      </c>
      <c r="F5">
        <f>VLOOKUP($A5,'Case-5'!$A$1:$AN$21,26,FALSE)</f>
        <v>1.6558336036647109E-2</v>
      </c>
      <c r="G5">
        <f>VLOOKUP($A5,'Case-6'!$A$1:$AN$21,26,FALSE)</f>
        <v>9.4191606584381315E-3</v>
      </c>
    </row>
    <row r="6" spans="1:7">
      <c r="A6" s="2">
        <v>30</v>
      </c>
      <c r="B6">
        <f>VLOOKUP($A6,'Case-1'!$A$1:$AN$21,26,FALSE)</f>
        <v>5.2766797019935793E-2</v>
      </c>
      <c r="C6">
        <f>VLOOKUP($A6,'Case-2'!$A$1:$AN$21,26,FALSE)</f>
        <v>4.5034088958434443E-2</v>
      </c>
      <c r="D6">
        <f>VLOOKUP($A6,'Case-3'!$A$1:$AN$21,26,FALSE)</f>
        <v>2.90076126547343E-2</v>
      </c>
      <c r="E6">
        <f>VLOOKUP($A6,'Case-4'!$A$1:$AN$21,26,FALSE)</f>
        <v>2.2131548768100279E-2</v>
      </c>
      <c r="F6">
        <f>VLOOKUP($A6,'Case-5'!$A$1:$AN$21,26,FALSE)</f>
        <v>1.499920077754642E-2</v>
      </c>
      <c r="G6">
        <f>VLOOKUP($A6,'Case-6'!$A$1:$AN$21,26,FALSE)</f>
        <v>9.5303528857936231E-3</v>
      </c>
    </row>
    <row r="7" spans="1:7">
      <c r="A7" s="3">
        <v>36</v>
      </c>
      <c r="B7">
        <f>VLOOKUP($A7,'Case-1'!$A$1:$AN$21,26,FALSE)</f>
        <v>4.160279822058964E-2</v>
      </c>
      <c r="C7">
        <f>VLOOKUP($A7,'Case-2'!$A$1:$AN$21,26,FALSE)</f>
        <v>4.194830873133451E-2</v>
      </c>
      <c r="D7">
        <f>VLOOKUP($A7,'Case-3'!$A$1:$AN$21,26,FALSE)</f>
        <v>2.3525924729721471E-2</v>
      </c>
      <c r="E7">
        <f>VLOOKUP($A7,'Case-4'!$A$1:$AN$21,26,FALSE)</f>
        <v>1.9669025576484981E-2</v>
      </c>
      <c r="F7">
        <f>VLOOKUP($A7,'Case-5'!$A$1:$AN$21,26,FALSE)</f>
        <v>1.224265700982507E-2</v>
      </c>
      <c r="G7">
        <f>VLOOKUP($A7,'Case-6'!$A$1:$AN$21,26,FALSE)</f>
        <v>8.4163414035141031E-3</v>
      </c>
    </row>
    <row r="8" spans="1:7">
      <c r="A8" s="2">
        <v>42</v>
      </c>
      <c r="B8">
        <f>VLOOKUP($A8,'Case-1'!$A$1:$AN$21,26,FALSE)</f>
        <v>4.1781150439537479E-2</v>
      </c>
      <c r="C8">
        <f>VLOOKUP($A8,'Case-2'!$A$1:$AN$21,26,FALSE)</f>
        <v>3.2386620169423432E-2</v>
      </c>
      <c r="D8">
        <f>VLOOKUP($A8,'Case-3'!$A$1:$AN$21,26,FALSE)</f>
        <v>2.2348683354093991E-2</v>
      </c>
      <c r="E8">
        <f>VLOOKUP($A8,'Case-4'!$A$1:$AN$21,26,FALSE)</f>
        <v>1.627801006474458E-2</v>
      </c>
      <c r="F8">
        <f>VLOOKUP($A8,'Case-5'!$A$1:$AN$21,26,FALSE)</f>
        <v>1.2066734587020849E-2</v>
      </c>
      <c r="G8">
        <f>VLOOKUP($A8,'Case-6'!$A$1:$AN$21,26,FALSE)</f>
        <v>7.9687245970287753E-3</v>
      </c>
    </row>
    <row r="9" spans="1:7">
      <c r="A9" s="3">
        <v>48</v>
      </c>
      <c r="B9">
        <f>VLOOKUP($A9,'Case-1'!$A$1:$AN$21,26,FALSE)</f>
        <v>4.181631070076449E-2</v>
      </c>
      <c r="C9">
        <f>VLOOKUP($A9,'Case-2'!$A$1:$AN$21,26,FALSE)</f>
        <v>4.2898390717804193E-2</v>
      </c>
      <c r="D9">
        <f>VLOOKUP($A9,'Case-3'!$A$1:$AN$21,26,FALSE)</f>
        <v>2.5655198942693639E-2</v>
      </c>
      <c r="E9">
        <f>VLOOKUP($A9,'Case-4'!$A$1:$AN$21,26,FALSE)</f>
        <v>1.3952393421777939E-2</v>
      </c>
      <c r="F9">
        <f>VLOOKUP($A9,'Case-5'!$A$1:$AN$21,26,FALSE)</f>
        <v>1.202303519087335E-2</v>
      </c>
      <c r="G9">
        <f>VLOOKUP($A9,'Case-6'!$A$1:$AN$21,26,FALSE)</f>
        <v>8.0239135980838937E-3</v>
      </c>
    </row>
    <row r="10" spans="1:7">
      <c r="A10" s="2">
        <v>54</v>
      </c>
      <c r="B10">
        <f>VLOOKUP($A10,'Case-1'!$A$1:$AN$21,26,FALSE)</f>
        <v>4.2552977549694677E-2</v>
      </c>
      <c r="C10">
        <f>VLOOKUP($A10,'Case-2'!$A$1:$AN$21,26,FALSE)</f>
        <v>3.2332864150148972E-2</v>
      </c>
      <c r="D10">
        <f>VLOOKUP($A10,'Case-3'!$A$1:$AN$21,26,FALSE)</f>
        <v>2.3207615493999811E-2</v>
      </c>
      <c r="E10">
        <f>VLOOKUP($A10,'Case-4'!$A$1:$AN$21,26,FALSE)</f>
        <v>1.3565102629018781E-2</v>
      </c>
      <c r="F10">
        <f>VLOOKUP($A10,'Case-5'!$A$1:$AN$21,26,FALSE)</f>
        <v>1.0466799025957161E-2</v>
      </c>
      <c r="G10">
        <f>VLOOKUP($A10,'Case-6'!$A$1:$AN$21,26,FALSE)</f>
        <v>6.3907986438941806E-3</v>
      </c>
    </row>
    <row r="11" spans="1:7">
      <c r="A11" s="3">
        <v>60</v>
      </c>
      <c r="B11">
        <f>VLOOKUP($A11,'Case-1'!$A$1:$AN$21,26,FALSE)</f>
        <v>4.0380819372921567E-2</v>
      </c>
      <c r="C11">
        <f>VLOOKUP($A11,'Case-2'!$A$1:$AN$21,26,FALSE)</f>
        <v>2.9192120071199659E-2</v>
      </c>
      <c r="D11">
        <f>VLOOKUP($A11,'Case-3'!$A$1:$AN$21,26,FALSE)</f>
        <v>2.2495081917809939E-2</v>
      </c>
      <c r="E11">
        <f>VLOOKUP($A11,'Case-4'!$A$1:$AN$21,26,FALSE)</f>
        <v>1.3963000088391041E-2</v>
      </c>
      <c r="F11">
        <f>VLOOKUP($A11,'Case-5'!$A$1:$AN$21,26,FALSE)</f>
        <v>1.038526061492653E-2</v>
      </c>
      <c r="G11">
        <f>VLOOKUP($A11,'Case-6'!$A$1:$AN$21,26,FALSE)</f>
        <v>6.7059098713534351E-3</v>
      </c>
    </row>
    <row r="12" spans="1:7">
      <c r="A12" s="2">
        <v>66</v>
      </c>
      <c r="B12">
        <f>VLOOKUP($A12,'Case-1'!$A$1:$AN$21,26,FALSE)</f>
        <v>3.7534636289156542E-2</v>
      </c>
      <c r="C12">
        <f>VLOOKUP($A12,'Case-2'!$A$1:$AN$21,26,FALSE)</f>
        <v>3.020329106612003E-2</v>
      </c>
      <c r="D12">
        <f>VLOOKUP($A12,'Case-3'!$A$1:$AN$21,26,FALSE)</f>
        <v>2.0626594962993981E-2</v>
      </c>
      <c r="E12">
        <f>VLOOKUP($A12,'Case-4'!$A$1:$AN$21,26,FALSE)</f>
        <v>1.3749193275391119E-2</v>
      </c>
      <c r="F12">
        <f>VLOOKUP($A12,'Case-5'!$A$1:$AN$21,26,FALSE)</f>
        <v>1.032518608827524E-2</v>
      </c>
      <c r="G12">
        <f>VLOOKUP($A12,'Case-6'!$A$1:$AN$21,26,FALSE)</f>
        <v>6.4463355137321428E-3</v>
      </c>
    </row>
    <row r="13" spans="1:7">
      <c r="A13" s="3">
        <v>72</v>
      </c>
      <c r="B13">
        <f>VLOOKUP($A13,'Case-1'!$A$1:$AN$21,26,FALSE)</f>
        <v>3.4941390996351178E-2</v>
      </c>
      <c r="C13">
        <f>VLOOKUP($A13,'Case-2'!$A$1:$AN$21,26,FALSE)</f>
        <v>3.3738848716815532E-2</v>
      </c>
      <c r="D13">
        <f>VLOOKUP($A13,'Case-3'!$A$1:$AN$21,26,FALSE)</f>
        <v>2.1790114130121069E-2</v>
      </c>
      <c r="E13">
        <f>VLOOKUP($A13,'Case-4'!$A$1:$AN$21,26,FALSE)</f>
        <v>1.394432045371637E-2</v>
      </c>
      <c r="F13">
        <f>VLOOKUP($A13,'Case-5'!$A$1:$AN$21,26,FALSE)</f>
        <v>8.6398180210932457E-3</v>
      </c>
      <c r="G13">
        <f>VLOOKUP($A13,'Case-6'!$A$1:$AN$21,26,FALSE)</f>
        <v>6.7248155546687756E-3</v>
      </c>
    </row>
    <row r="14" spans="1:7">
      <c r="A14" s="2">
        <v>78</v>
      </c>
      <c r="B14">
        <f>VLOOKUP($A14,'Case-1'!$A$1:$AN$21,26,FALSE)</f>
        <v>3.3933293992100981E-2</v>
      </c>
      <c r="C14">
        <f>VLOOKUP($A14,'Case-2'!$A$1:$AN$21,26,FALSE)</f>
        <v>3.2315435217510707E-2</v>
      </c>
      <c r="D14">
        <f>VLOOKUP($A14,'Case-3'!$A$1:$AN$21,26,FALSE)</f>
        <v>1.9644180839786831E-2</v>
      </c>
      <c r="E14">
        <f>VLOOKUP($A14,'Case-4'!$A$1:$AN$21,26,FALSE)</f>
        <v>1.15248128501377E-2</v>
      </c>
      <c r="F14">
        <f>VLOOKUP($A14,'Case-5'!$A$1:$AN$21,26,FALSE)</f>
        <v>1.068941540865353E-2</v>
      </c>
      <c r="G14">
        <f>VLOOKUP($A14,'Case-6'!$A$1:$AN$21,26,FALSE)</f>
        <v>6.8295598437884521E-3</v>
      </c>
    </row>
    <row r="15" spans="1:7">
      <c r="A15" s="3">
        <v>84</v>
      </c>
      <c r="B15">
        <f>VLOOKUP($A15,'Case-1'!$A$1:$AN$21,26,FALSE)</f>
        <v>3.456789394719615E-2</v>
      </c>
      <c r="C15">
        <f>VLOOKUP($A15,'Case-2'!$A$1:$AN$21,26,FALSE)</f>
        <v>2.885324532338646E-2</v>
      </c>
      <c r="D15">
        <f>VLOOKUP($A15,'Case-3'!$A$1:$AN$21,26,FALSE)</f>
        <v>2.0839952847759729E-2</v>
      </c>
      <c r="E15">
        <f>VLOOKUP($A15,'Case-4'!$A$1:$AN$21,26,FALSE)</f>
        <v>1.4381522987785699E-2</v>
      </c>
      <c r="F15">
        <f>VLOOKUP($A15,'Case-5'!$A$1:$AN$21,26,FALSE)</f>
        <v>8.1172356093698675E-3</v>
      </c>
      <c r="G15">
        <f>VLOOKUP($A15,'Case-6'!$A$1:$AN$21,26,FALSE)</f>
        <v>4.5909185337505024E-3</v>
      </c>
    </row>
    <row r="16" spans="1:7">
      <c r="A16" s="2">
        <v>90</v>
      </c>
      <c r="B16">
        <f>VLOOKUP($A16,'Case-1'!$A$1:$AN$21,26,FALSE)</f>
        <v>3.371684341774734E-2</v>
      </c>
      <c r="C16">
        <f>VLOOKUP($A16,'Case-2'!$A$1:$AN$21,26,FALSE)</f>
        <v>2.912753727762122E-2</v>
      </c>
      <c r="D16">
        <f>VLOOKUP($A16,'Case-3'!$A$1:$AN$21,26,FALSE)</f>
        <v>2.0472581138560351E-2</v>
      </c>
      <c r="E16">
        <f>VLOOKUP($A16,'Case-4'!$A$1:$AN$21,26,FALSE)</f>
        <v>1.461495926247069E-2</v>
      </c>
      <c r="F16">
        <f>VLOOKUP($A16,'Case-5'!$A$1:$AN$21,26,FALSE)</f>
        <v>9.0479414645781783E-3</v>
      </c>
      <c r="G16">
        <f>VLOOKUP($A16,'Case-6'!$A$1:$AN$21,26,FALSE)</f>
        <v>6.2431054991003952E-3</v>
      </c>
    </row>
    <row r="17" spans="1:7">
      <c r="A17" s="3">
        <v>96</v>
      </c>
      <c r="B17">
        <f>VLOOKUP($A17,'Case-1'!$A$1:$AN$21,26,FALSE)</f>
        <v>2.9154619672411342E-2</v>
      </c>
      <c r="C17">
        <f>VLOOKUP($A17,'Case-2'!$A$1:$AN$21,26,FALSE)</f>
        <v>3.3135220189872867E-2</v>
      </c>
      <c r="D17">
        <f>VLOOKUP($A17,'Case-3'!$A$1:$AN$21,26,FALSE)</f>
        <v>1.8340120945295749E-2</v>
      </c>
      <c r="E17">
        <f>VLOOKUP($A17,'Case-4'!$A$1:$AN$21,26,FALSE)</f>
        <v>1.129100407882323E-2</v>
      </c>
      <c r="F17">
        <f>VLOOKUP($A17,'Case-5'!$A$1:$AN$21,26,FALSE)</f>
        <v>7.9848664559645163E-3</v>
      </c>
      <c r="G17">
        <f>VLOOKUP($A17,'Case-6'!$A$1:$AN$21,26,FALSE)</f>
        <v>5.5492034640274371E-3</v>
      </c>
    </row>
    <row r="18" spans="1:7">
      <c r="A18" s="2">
        <v>102</v>
      </c>
      <c r="B18">
        <f>VLOOKUP($A18,'Case-1'!$A$1:$AN$21,26,FALSE)</f>
        <v>3.2263461131278537E-2</v>
      </c>
      <c r="C18">
        <f>VLOOKUP($A18,'Case-2'!$A$1:$AN$21,26,FALSE)</f>
        <v>3.015158439203567E-2</v>
      </c>
      <c r="D18">
        <f>VLOOKUP($A18,'Case-3'!$A$1:$AN$21,26,FALSE)</f>
        <v>1.577788868479707E-2</v>
      </c>
      <c r="E18">
        <f>VLOOKUP($A18,'Case-4'!$A$1:$AN$21,26,FALSE)</f>
        <v>9.7748283243936918E-3</v>
      </c>
      <c r="F18">
        <f>VLOOKUP($A18,'Case-5'!$A$1:$AN$21,26,FALSE)</f>
        <v>7.1106209037444766E-3</v>
      </c>
      <c r="G18">
        <f>VLOOKUP($A18,'Case-6'!$A$1:$AN$21,26,FALSE)</f>
        <v>6.7949008178275058E-3</v>
      </c>
    </row>
    <row r="19" spans="1:7">
      <c r="A19" s="3">
        <v>108</v>
      </c>
      <c r="B19">
        <f>VLOOKUP($A19,'Case-1'!$A$1:$AN$21,26,FALSE)</f>
        <v>2.9861530108694981E-2</v>
      </c>
      <c r="C19">
        <f>VLOOKUP($A19,'Case-2'!$A$1:$AN$21,26,FALSE)</f>
        <v>2.9834747338971051E-2</v>
      </c>
      <c r="D19">
        <f>VLOOKUP($A19,'Case-3'!$A$1:$AN$21,26,FALSE)</f>
        <v>1.619786151804891E-2</v>
      </c>
      <c r="E19">
        <f>VLOOKUP($A19,'Case-4'!$A$1:$AN$21,26,FALSE)</f>
        <v>1.206027228326677E-2</v>
      </c>
      <c r="F19">
        <f>VLOOKUP($A19,'Case-5'!$A$1:$AN$21,26,FALSE)</f>
        <v>7.9227564257575815E-3</v>
      </c>
      <c r="G19">
        <f>VLOOKUP($A19,'Case-6'!$A$1:$AN$21,26,FALSE)</f>
        <v>4.2955323221757682E-3</v>
      </c>
    </row>
    <row r="20" spans="1:7">
      <c r="A20" s="2">
        <v>114</v>
      </c>
      <c r="B20">
        <f>VLOOKUP($A20,'Case-1'!$A$1:$AN$21,26,FALSE)</f>
        <v>2.9389594846725719E-2</v>
      </c>
      <c r="C20">
        <f>VLOOKUP($A20,'Case-2'!$A$1:$AN$21,26,FALSE)</f>
        <v>3.3856331309989857E-2</v>
      </c>
      <c r="D20">
        <f>VLOOKUP($A20,'Case-3'!$A$1:$AN$21,26,FALSE)</f>
        <v>1.5882764763353121E-2</v>
      </c>
      <c r="E20">
        <f>VLOOKUP($A20,'Case-4'!$A$1:$AN$21,26,FALSE)</f>
        <v>1.0663792733404729E-2</v>
      </c>
      <c r="F20">
        <f>VLOOKUP($A20,'Case-5'!$A$1:$AN$21,26,FALSE)</f>
        <v>6.4365920567661739E-3</v>
      </c>
      <c r="G20">
        <f>VLOOKUP($A20,'Case-6'!$A$1:$AN$21,26,FALSE)</f>
        <v>4.9853471087921682E-3</v>
      </c>
    </row>
    <row r="21" spans="1:7">
      <c r="A21" s="3">
        <v>120</v>
      </c>
      <c r="B21">
        <f>VLOOKUP($A21,'Case-1'!$A$1:$AN$21,26,FALSE)</f>
        <v>3.0597218763772312E-2</v>
      </c>
      <c r="C21">
        <f>VLOOKUP($A21,'Case-2'!$A$1:$AN$21,26,FALSE)</f>
        <v>3.4545773180495322E-2</v>
      </c>
      <c r="D21">
        <f>VLOOKUP($A21,'Case-3'!$A$1:$AN$21,26,FALSE)</f>
        <v>1.649180503526165E-2</v>
      </c>
      <c r="E21">
        <f>VLOOKUP($A21,'Case-4'!$A$1:$AN$21,26,FALSE)</f>
        <v>1.3063322803454741E-2</v>
      </c>
      <c r="F21">
        <f>VLOOKUP($A21,'Case-5'!$A$1:$AN$21,26,FALSE)</f>
        <v>8.8249464992637867E-3</v>
      </c>
      <c r="G21">
        <f>VLOOKUP($A21,'Case-6'!$A$1:$AN$21,26,FALSE)</f>
        <v>5.7518310250350719E-3</v>
      </c>
    </row>
    <row r="22" spans="1:7">
      <c r="B22">
        <f>AVERAGE(B2:B21)</f>
        <v>4.4903272909844368E-2</v>
      </c>
      <c r="C22">
        <f t="shared" ref="C22:G22" si="0">AVERAGE(C2:C21)</f>
        <v>4.1684498260957936E-2</v>
      </c>
      <c r="D22">
        <f t="shared" si="0"/>
        <v>2.7196750748842168E-2</v>
      </c>
      <c r="E22">
        <f t="shared" si="0"/>
        <v>1.786201909344937E-2</v>
      </c>
      <c r="F22">
        <f t="shared" si="0"/>
        <v>1.568956434587104E-2</v>
      </c>
      <c r="G22">
        <f t="shared" si="0"/>
        <v>7.4862687101592178E-3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C4C3-F06A-4C0A-934F-A779A127AB2E}">
  <dimension ref="A1:G22"/>
  <sheetViews>
    <sheetView workbookViewId="0">
      <selection activeCell="B22" sqref="B22:G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VLOOKUP($A2,'Case-1'!$A$1:$AN$21,27,FALSE)</f>
        <v>7.4160657995526555E-2</v>
      </c>
      <c r="C2">
        <f>VLOOKUP($A2,'Case-2'!$A$1:$AN$21,27,FALSE)</f>
        <v>7.644279575328615E-2</v>
      </c>
      <c r="D2">
        <f>VLOOKUP($A2,'Case-3'!$A$1:$AN$21,27,FALSE)</f>
        <v>0.17438435931611371</v>
      </c>
      <c r="E2">
        <f>VLOOKUP($A2,'Case-4'!$A$1:$AN$21,27,FALSE)</f>
        <v>0.22247515151515149</v>
      </c>
      <c r="F2">
        <f>VLOOKUP($A2,'Case-5'!$A$1:$AN$21,27,FALSE)</f>
        <v>0.14268707080920431</v>
      </c>
      <c r="G2">
        <f>VLOOKUP($A2,'Case-6'!$A$1:$AN$21,27,FALSE)</f>
        <v>0.5</v>
      </c>
    </row>
    <row r="3" spans="1:7">
      <c r="A3" s="3">
        <v>12</v>
      </c>
      <c r="B3">
        <f>VLOOKUP($A3,'Case-1'!$A$1:$AN$21,27,FALSE)</f>
        <v>7.0033336539887261E-2</v>
      </c>
      <c r="C3">
        <f>VLOOKUP($A3,'Case-2'!$A$1:$AN$21,27,FALSE)</f>
        <v>7.3714186515278182E-2</v>
      </c>
      <c r="D3">
        <f>VLOOKUP($A3,'Case-3'!$A$1:$AN$21,27,FALSE)</f>
        <v>0.12943645974401691</v>
      </c>
      <c r="E3">
        <f>VLOOKUP($A3,'Case-4'!$A$1:$AN$21,27,FALSE)</f>
        <v>0.19817008423101451</v>
      </c>
      <c r="F3">
        <f>VLOOKUP($A3,'Case-5'!$A$1:$AN$21,27,FALSE)</f>
        <v>0.3260280754716981</v>
      </c>
      <c r="G3">
        <f>VLOOKUP($A3,'Case-6'!$A$1:$AN$21,27,FALSE)</f>
        <v>0.5</v>
      </c>
    </row>
    <row r="4" spans="1:7">
      <c r="A4" s="2">
        <v>18</v>
      </c>
      <c r="B4">
        <f>VLOOKUP($A4,'Case-1'!$A$1:$AN$21,27,FALSE)</f>
        <v>6.6314274892587163E-2</v>
      </c>
      <c r="C4">
        <f>VLOOKUP($A4,'Case-2'!$A$1:$AN$21,27,FALSE)</f>
        <v>8.5119618457493634E-2</v>
      </c>
      <c r="D4">
        <f>VLOOKUP($A4,'Case-3'!$A$1:$AN$21,27,FALSE)</f>
        <v>0.1424498470885974</v>
      </c>
      <c r="E4">
        <f>VLOOKUP($A4,'Case-4'!$A$1:$AN$21,27,FALSE)</f>
        <v>0.1998664538939495</v>
      </c>
      <c r="F4">
        <f>VLOOKUP($A4,'Case-5'!$A$1:$AN$21,27,FALSE)</f>
        <v>0.2822951400952648</v>
      </c>
      <c r="G4">
        <f>VLOOKUP($A4,'Case-6'!$A$1:$AN$21,27,FALSE)</f>
        <v>0.41093863013698628</v>
      </c>
    </row>
    <row r="5" spans="1:7">
      <c r="A5" s="3">
        <v>24</v>
      </c>
      <c r="B5">
        <f>VLOOKUP($A5,'Case-1'!$A$1:$AN$21,27,FALSE)</f>
        <v>7.0335969182797553E-2</v>
      </c>
      <c r="C5">
        <f>VLOOKUP($A5,'Case-2'!$A$1:$AN$21,27,FALSE)</f>
        <v>8.1050851054269304E-2</v>
      </c>
      <c r="D5">
        <f>VLOOKUP($A5,'Case-3'!$A$1:$AN$21,27,FALSE)</f>
        <v>0.14013850428502519</v>
      </c>
      <c r="E5">
        <f>VLOOKUP($A5,'Case-4'!$A$1:$AN$21,27,FALSE)</f>
        <v>0.20247089780449209</v>
      </c>
      <c r="F5">
        <f>VLOOKUP($A5,'Case-5'!$A$1:$AN$21,27,FALSE)</f>
        <v>0.2887862972282122</v>
      </c>
      <c r="G5">
        <f>VLOOKUP($A5,'Case-6'!$A$1:$AN$21,27,FALSE)</f>
        <v>0.43896473118279572</v>
      </c>
    </row>
    <row r="6" spans="1:7">
      <c r="A6" s="2">
        <v>30</v>
      </c>
      <c r="B6">
        <f>VLOOKUP($A6,'Case-1'!$A$1:$AN$21,27,FALSE)</f>
        <v>7.1622212800221768E-2</v>
      </c>
      <c r="C6">
        <f>VLOOKUP($A6,'Case-2'!$A$1:$AN$21,27,FALSE)</f>
        <v>8.3233814663039862E-2</v>
      </c>
      <c r="D6">
        <f>VLOOKUP($A6,'Case-3'!$A$1:$AN$21,27,FALSE)</f>
        <v>0.14051969525395361</v>
      </c>
      <c r="E6">
        <f>VLOOKUP($A6,'Case-4'!$A$1:$AN$21,27,FALSE)</f>
        <v>0.20584581514340561</v>
      </c>
      <c r="F6">
        <f>VLOOKUP($A6,'Case-5'!$A$1:$AN$21,27,FALSE)</f>
        <v>0.28073309637181548</v>
      </c>
      <c r="G6">
        <f>VLOOKUP($A6,'Case-6'!$A$1:$AN$21,27,FALSE)</f>
        <v>0.38972967344656212</v>
      </c>
    </row>
    <row r="7" spans="1:7">
      <c r="A7" s="3">
        <v>36</v>
      </c>
      <c r="B7">
        <f>VLOOKUP($A7,'Case-1'!$A$1:$AN$21,27,FALSE)</f>
        <v>7.236985299156222E-2</v>
      </c>
      <c r="C7">
        <f>VLOOKUP($A7,'Case-2'!$A$1:$AN$21,27,FALSE)</f>
        <v>8.1971383941425016E-2</v>
      </c>
      <c r="D7">
        <f>VLOOKUP($A7,'Case-3'!$A$1:$AN$21,27,FALSE)</f>
        <v>0.1360747916568554</v>
      </c>
      <c r="E7">
        <f>VLOOKUP($A7,'Case-4'!$A$1:$AN$21,27,FALSE)</f>
        <v>0.20330398418753959</v>
      </c>
      <c r="F7">
        <f>VLOOKUP($A7,'Case-5'!$A$1:$AN$21,27,FALSE)</f>
        <v>0.28226979985067979</v>
      </c>
      <c r="G7">
        <f>VLOOKUP($A7,'Case-6'!$A$1:$AN$21,27,FALSE)</f>
        <v>0.40567040410922878</v>
      </c>
    </row>
    <row r="8" spans="1:7">
      <c r="A8" s="2">
        <v>42</v>
      </c>
      <c r="B8">
        <f>VLOOKUP($A8,'Case-1'!$A$1:$AN$21,27,FALSE)</f>
        <v>7.1627227996602788E-2</v>
      </c>
      <c r="C8">
        <f>VLOOKUP($A8,'Case-2'!$A$1:$AN$21,27,FALSE)</f>
        <v>8.3545893455286319E-2</v>
      </c>
      <c r="D8">
        <f>VLOOKUP($A8,'Case-3'!$A$1:$AN$21,27,FALSE)</f>
        <v>0.13862383734549949</v>
      </c>
      <c r="E8">
        <f>VLOOKUP($A8,'Case-4'!$A$1:$AN$21,27,FALSE)</f>
        <v>0.19702913901867211</v>
      </c>
      <c r="F8">
        <f>VLOOKUP($A8,'Case-5'!$A$1:$AN$21,27,FALSE)</f>
        <v>0.28238432903766442</v>
      </c>
      <c r="G8">
        <f>VLOOKUP($A8,'Case-6'!$A$1:$AN$21,27,FALSE)</f>
        <v>0.41221487730921791</v>
      </c>
    </row>
    <row r="9" spans="1:7">
      <c r="A9" s="3">
        <v>48</v>
      </c>
      <c r="B9">
        <f>VLOOKUP($A9,'Case-1'!$A$1:$AN$21,27,FALSE)</f>
        <v>7.1316768375216902E-2</v>
      </c>
      <c r="C9">
        <f>VLOOKUP($A9,'Case-2'!$A$1:$AN$21,27,FALSE)</f>
        <v>8.4255472158838524E-2</v>
      </c>
      <c r="D9">
        <f>VLOOKUP($A9,'Case-3'!$A$1:$AN$21,27,FALSE)</f>
        <v>0.13780138706344869</v>
      </c>
      <c r="E9">
        <f>VLOOKUP($A9,'Case-4'!$A$1:$AN$21,27,FALSE)</f>
        <v>0.19765054045633501</v>
      </c>
      <c r="F9">
        <f>VLOOKUP($A9,'Case-5'!$A$1:$AN$21,27,FALSE)</f>
        <v>0.28352433349952</v>
      </c>
      <c r="G9">
        <f>VLOOKUP($A9,'Case-6'!$A$1:$AN$21,27,FALSE)</f>
        <v>0.3834683770402138</v>
      </c>
    </row>
    <row r="10" spans="1:7">
      <c r="A10" s="2">
        <v>54</v>
      </c>
      <c r="B10">
        <f>VLOOKUP($A10,'Case-1'!$A$1:$AN$21,27,FALSE)</f>
        <v>7.0655290612324312E-2</v>
      </c>
      <c r="C10">
        <f>VLOOKUP($A10,'Case-2'!$A$1:$AN$21,27,FALSE)</f>
        <v>8.1601769290761392E-2</v>
      </c>
      <c r="D10">
        <f>VLOOKUP($A10,'Case-3'!$A$1:$AN$21,27,FALSE)</f>
        <v>0.1376051040694776</v>
      </c>
      <c r="E10">
        <f>VLOOKUP($A10,'Case-4'!$A$1:$AN$21,27,FALSE)</f>
        <v>0.19652249710213329</v>
      </c>
      <c r="F10">
        <f>VLOOKUP($A10,'Case-5'!$A$1:$AN$21,27,FALSE)</f>
        <v>0.28341634238620322</v>
      </c>
      <c r="G10">
        <f>VLOOKUP($A10,'Case-6'!$A$1:$AN$21,27,FALSE)</f>
        <v>0.40098687536047872</v>
      </c>
    </row>
    <row r="11" spans="1:7">
      <c r="A11" s="3">
        <v>60</v>
      </c>
      <c r="B11">
        <f>VLOOKUP($A11,'Case-1'!$A$1:$AN$21,27,FALSE)</f>
        <v>6.967118065741601E-2</v>
      </c>
      <c r="C11">
        <f>VLOOKUP($A11,'Case-2'!$A$1:$AN$21,27,FALSE)</f>
        <v>8.6793003642258254E-2</v>
      </c>
      <c r="D11">
        <f>VLOOKUP($A11,'Case-3'!$A$1:$AN$21,27,FALSE)</f>
        <v>0.1364696825696326</v>
      </c>
      <c r="E11">
        <f>VLOOKUP($A11,'Case-4'!$A$1:$AN$21,27,FALSE)</f>
        <v>0.20085275650074191</v>
      </c>
      <c r="F11">
        <f>VLOOKUP($A11,'Case-5'!$A$1:$AN$21,27,FALSE)</f>
        <v>0.28623881286209968</v>
      </c>
      <c r="G11">
        <f>VLOOKUP($A11,'Case-6'!$A$1:$AN$21,27,FALSE)</f>
        <v>0.38013735162453238</v>
      </c>
    </row>
    <row r="12" spans="1:7">
      <c r="A12" s="2">
        <v>66</v>
      </c>
      <c r="B12">
        <f>VLOOKUP($A12,'Case-1'!$A$1:$AN$21,27,FALSE)</f>
        <v>7.0807359841407319E-2</v>
      </c>
      <c r="C12">
        <f>VLOOKUP($A12,'Case-2'!$A$1:$AN$21,27,FALSE)</f>
        <v>8.4561975178639254E-2</v>
      </c>
      <c r="D12">
        <f>VLOOKUP($A12,'Case-3'!$A$1:$AN$21,27,FALSE)</f>
        <v>0.1374305856435919</v>
      </c>
      <c r="E12">
        <f>VLOOKUP($A12,'Case-4'!$A$1:$AN$21,27,FALSE)</f>
        <v>0.19859252800866001</v>
      </c>
      <c r="F12">
        <f>VLOOKUP($A12,'Case-5'!$A$1:$AN$21,27,FALSE)</f>
        <v>0.27608065837627221</v>
      </c>
      <c r="G12">
        <f>VLOOKUP($A12,'Case-6'!$A$1:$AN$21,27,FALSE)</f>
        <v>0.38796620239519469</v>
      </c>
    </row>
    <row r="13" spans="1:7">
      <c r="A13" s="3">
        <v>72</v>
      </c>
      <c r="B13">
        <f>VLOOKUP($A13,'Case-1'!$A$1:$AN$21,27,FALSE)</f>
        <v>6.8433927359430491E-2</v>
      </c>
      <c r="C13">
        <f>VLOOKUP($A13,'Case-2'!$A$1:$AN$21,27,FALSE)</f>
        <v>8.5737845351794628E-2</v>
      </c>
      <c r="D13">
        <f>VLOOKUP($A13,'Case-3'!$A$1:$AN$21,27,FALSE)</f>
        <v>0.13669189832492379</v>
      </c>
      <c r="E13">
        <f>VLOOKUP($A13,'Case-4'!$A$1:$AN$21,27,FALSE)</f>
        <v>0.2021421450151199</v>
      </c>
      <c r="F13">
        <f>VLOOKUP($A13,'Case-5'!$A$1:$AN$21,27,FALSE)</f>
        <v>0.28073992266165748</v>
      </c>
      <c r="G13">
        <f>VLOOKUP($A13,'Case-6'!$A$1:$AN$21,27,FALSE)</f>
        <v>0.3850810087342656</v>
      </c>
    </row>
    <row r="14" spans="1:7">
      <c r="A14" s="2">
        <v>78</v>
      </c>
      <c r="B14">
        <f>VLOOKUP($A14,'Case-1'!$A$1:$AN$21,27,FALSE)</f>
        <v>7.1207061681194866E-2</v>
      </c>
      <c r="C14">
        <f>VLOOKUP($A14,'Case-2'!$A$1:$AN$21,27,FALSE)</f>
        <v>8.2844915671661135E-2</v>
      </c>
      <c r="D14">
        <f>VLOOKUP($A14,'Case-3'!$A$1:$AN$21,27,FALSE)</f>
        <v>0.1410467787196884</v>
      </c>
      <c r="E14">
        <f>VLOOKUP($A14,'Case-4'!$A$1:$AN$21,27,FALSE)</f>
        <v>0.201178282485001</v>
      </c>
      <c r="F14">
        <f>VLOOKUP($A14,'Case-5'!$A$1:$AN$21,27,FALSE)</f>
        <v>0.27832617036569751</v>
      </c>
      <c r="G14">
        <f>VLOOKUP($A14,'Case-6'!$A$1:$AN$21,27,FALSE)</f>
        <v>0.37297469579691489</v>
      </c>
    </row>
    <row r="15" spans="1:7">
      <c r="A15" s="3">
        <v>84</v>
      </c>
      <c r="B15">
        <f>VLOOKUP($A15,'Case-1'!$A$1:$AN$21,27,FALSE)</f>
        <v>6.9129817993887496E-2</v>
      </c>
      <c r="C15">
        <f>VLOOKUP($A15,'Case-2'!$A$1:$AN$21,27,FALSE)</f>
        <v>8.8290605497061747E-2</v>
      </c>
      <c r="D15">
        <f>VLOOKUP($A15,'Case-3'!$A$1:$AN$21,27,FALSE)</f>
        <v>0.13363062434803119</v>
      </c>
      <c r="E15">
        <f>VLOOKUP($A15,'Case-4'!$A$1:$AN$21,27,FALSE)</f>
        <v>0.19453444330955441</v>
      </c>
      <c r="F15">
        <f>VLOOKUP($A15,'Case-5'!$A$1:$AN$21,27,FALSE)</f>
        <v>0.2765523803464412</v>
      </c>
      <c r="G15">
        <f>VLOOKUP($A15,'Case-6'!$A$1:$AN$21,27,FALSE)</f>
        <v>0.39097186580437909</v>
      </c>
    </row>
    <row r="16" spans="1:7">
      <c r="A16" s="2">
        <v>90</v>
      </c>
      <c r="B16">
        <f>VLOOKUP($A16,'Case-1'!$A$1:$AN$21,27,FALSE)</f>
        <v>7.3752043219565883E-2</v>
      </c>
      <c r="C16">
        <f>VLOOKUP($A16,'Case-2'!$A$1:$AN$21,27,FALSE)</f>
        <v>7.9844828741788026E-2</v>
      </c>
      <c r="D16">
        <f>VLOOKUP($A16,'Case-3'!$A$1:$AN$21,27,FALSE)</f>
        <v>0.13103366327511909</v>
      </c>
      <c r="E16">
        <f>VLOOKUP($A16,'Case-4'!$A$1:$AN$21,27,FALSE)</f>
        <v>0.19536846259766069</v>
      </c>
      <c r="F16">
        <f>VLOOKUP($A16,'Case-5'!$A$1:$AN$21,27,FALSE)</f>
        <v>0.28043706667676321</v>
      </c>
      <c r="G16">
        <f>VLOOKUP($A16,'Case-6'!$A$1:$AN$21,27,FALSE)</f>
        <v>0.37776575255737349</v>
      </c>
    </row>
    <row r="17" spans="1:7">
      <c r="A17" s="3">
        <v>96</v>
      </c>
      <c r="B17">
        <f>VLOOKUP($A17,'Case-1'!$A$1:$AN$21,27,FALSE)</f>
        <v>7.0400099881542041E-2</v>
      </c>
      <c r="C17">
        <f>VLOOKUP($A17,'Case-2'!$A$1:$AN$21,27,FALSE)</f>
        <v>8.2164543468224618E-2</v>
      </c>
      <c r="D17">
        <f>VLOOKUP($A17,'Case-3'!$A$1:$AN$21,27,FALSE)</f>
        <v>0.13450928633395709</v>
      </c>
      <c r="E17">
        <f>VLOOKUP($A17,'Case-4'!$A$1:$AN$21,27,FALSE)</f>
        <v>0.2061913123702373</v>
      </c>
      <c r="F17">
        <f>VLOOKUP($A17,'Case-5'!$A$1:$AN$21,27,FALSE)</f>
        <v>0.2820257626443568</v>
      </c>
      <c r="G17">
        <f>VLOOKUP($A17,'Case-6'!$A$1:$AN$21,27,FALSE)</f>
        <v>0.38576499331824859</v>
      </c>
    </row>
    <row r="18" spans="1:7">
      <c r="A18" s="2">
        <v>102</v>
      </c>
      <c r="B18">
        <f>VLOOKUP($A18,'Case-1'!$A$1:$AN$21,27,FALSE)</f>
        <v>6.8801733441331267E-2</v>
      </c>
      <c r="C18">
        <f>VLOOKUP($A18,'Case-2'!$A$1:$AN$21,27,FALSE)</f>
        <v>8.5064799041662364E-2</v>
      </c>
      <c r="D18">
        <f>VLOOKUP($A18,'Case-3'!$A$1:$AN$21,27,FALSE)</f>
        <v>0.13685056958665259</v>
      </c>
      <c r="E18">
        <f>VLOOKUP($A18,'Case-4'!$A$1:$AN$21,27,FALSE)</f>
        <v>0.1896359787493031</v>
      </c>
      <c r="F18">
        <f>VLOOKUP($A18,'Case-5'!$A$1:$AN$21,27,FALSE)</f>
        <v>0.27283156086248928</v>
      </c>
      <c r="G18">
        <f>VLOOKUP($A18,'Case-6'!$A$1:$AN$21,27,FALSE)</f>
        <v>0.3850094781307381</v>
      </c>
    </row>
    <row r="19" spans="1:7">
      <c r="A19" s="3">
        <v>108</v>
      </c>
      <c r="B19">
        <f>VLOOKUP($A19,'Case-1'!$A$1:$AN$21,27,FALSE)</f>
        <v>6.8955781839860508E-2</v>
      </c>
      <c r="C19">
        <f>VLOOKUP($A19,'Case-2'!$A$1:$AN$21,27,FALSE)</f>
        <v>8.7002547066101374E-2</v>
      </c>
      <c r="D19">
        <f>VLOOKUP($A19,'Case-3'!$A$1:$AN$21,27,FALSE)</f>
        <v>0.13194943265008849</v>
      </c>
      <c r="E19">
        <f>VLOOKUP($A19,'Case-4'!$A$1:$AN$21,27,FALSE)</f>
        <v>0.19688220926309649</v>
      </c>
      <c r="F19">
        <f>VLOOKUP($A19,'Case-5'!$A$1:$AN$21,27,FALSE)</f>
        <v>0.29206578405443712</v>
      </c>
      <c r="G19">
        <f>VLOOKUP($A19,'Case-6'!$A$1:$AN$21,27,FALSE)</f>
        <v>0.37222442857195542</v>
      </c>
    </row>
    <row r="20" spans="1:7">
      <c r="A20" s="2">
        <v>114</v>
      </c>
      <c r="B20">
        <f>VLOOKUP($A20,'Case-1'!$A$1:$AN$21,27,FALSE)</f>
        <v>7.0243459906933717E-2</v>
      </c>
      <c r="C20">
        <f>VLOOKUP($A20,'Case-2'!$A$1:$AN$21,27,FALSE)</f>
        <v>8.7402885006192824E-2</v>
      </c>
      <c r="D20">
        <f>VLOOKUP($A20,'Case-3'!$A$1:$AN$21,27,FALSE)</f>
        <v>0.13770141683626599</v>
      </c>
      <c r="E20">
        <f>VLOOKUP($A20,'Case-4'!$A$1:$AN$21,27,FALSE)</f>
        <v>0.19543701704841071</v>
      </c>
      <c r="F20">
        <f>VLOOKUP($A20,'Case-5'!$A$1:$AN$21,27,FALSE)</f>
        <v>0.2744516646169875</v>
      </c>
      <c r="G20">
        <f>VLOOKUP($A20,'Case-6'!$A$1:$AN$21,27,FALSE)</f>
        <v>0.37321186433346992</v>
      </c>
    </row>
    <row r="21" spans="1:7">
      <c r="A21" s="3">
        <v>120</v>
      </c>
      <c r="B21">
        <f>VLOOKUP($A21,'Case-1'!$A$1:$AN$21,27,FALSE)</f>
        <v>6.7091319658953971E-2</v>
      </c>
      <c r="C21">
        <f>VLOOKUP($A21,'Case-2'!$A$1:$AN$21,27,FALSE)</f>
        <v>8.7560148409267374E-2</v>
      </c>
      <c r="D21">
        <f>VLOOKUP($A21,'Case-3'!$A$1:$AN$21,27,FALSE)</f>
        <v>0.1336207590727615</v>
      </c>
      <c r="E21">
        <f>VLOOKUP($A21,'Case-4'!$A$1:$AN$21,27,FALSE)</f>
        <v>0.19892776078107091</v>
      </c>
      <c r="F21">
        <f>VLOOKUP($A21,'Case-5'!$A$1:$AN$21,27,FALSE)</f>
        <v>0.27912350049453122</v>
      </c>
      <c r="G21">
        <f>VLOOKUP($A21,'Case-6'!$A$1:$AN$21,27,FALSE)</f>
        <v>0.37317364996504598</v>
      </c>
    </row>
    <row r="22" spans="1:7">
      <c r="B22">
        <f>AVERAGE(B2:B21)</f>
        <v>7.0346468843412502E-2</v>
      </c>
      <c r="C22">
        <f t="shared" ref="C22:G22" si="0">AVERAGE(C2:C21)</f>
        <v>8.3410194118216513E-2</v>
      </c>
      <c r="D22">
        <f t="shared" si="0"/>
        <v>0.13839843415918501</v>
      </c>
      <c r="E22">
        <f t="shared" si="0"/>
        <v>0.2001538729740775</v>
      </c>
      <c r="F22">
        <f t="shared" si="0"/>
        <v>0.27654988843559974</v>
      </c>
      <c r="G22">
        <f t="shared" si="0"/>
        <v>0.4013127429908801</v>
      </c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DA14-3E9F-4AE9-81ED-098146B001E5}">
  <dimension ref="A1:G21"/>
  <sheetViews>
    <sheetView workbookViewId="0">
      <selection activeCell="B1" sqref="B1:G1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VLOOKUP($A2,'Case-1'!$A$1:$AN$21,28,FALSE)</f>
        <v>2.9636895232727091E-2</v>
      </c>
      <c r="C2">
        <f>VLOOKUP($A2,'Case-2'!$A$1:$AN$21,28,FALSE)</f>
        <v>3.243910742951453E-2</v>
      </c>
      <c r="D2">
        <f>VLOOKUP($A2,'Case-3'!$A$1:$AN$21,28,FALSE)</f>
        <v>0.15718829290483749</v>
      </c>
      <c r="E2">
        <f>VLOOKUP($A2,'Case-4'!$A$1:$AN$21,28,FALSE)</f>
        <v>2.8756116091575652E-2</v>
      </c>
      <c r="F2">
        <f>VLOOKUP($A2,'Case-5'!$A$1:$AN$21,28,FALSE)</f>
        <v>0.1232801281708136</v>
      </c>
      <c r="G2">
        <f>VLOOKUP($A2,'Case-6'!$A$1:$AN$21,28,FALSE)</f>
        <v>0</v>
      </c>
    </row>
    <row r="3" spans="1:7">
      <c r="A3" s="3">
        <v>12</v>
      </c>
      <c r="B3">
        <f>VLOOKUP($A3,'Case-1'!$A$1:$AN$21,28,FALSE)</f>
        <v>2.4067751316927739E-2</v>
      </c>
      <c r="C3">
        <f>VLOOKUP($A3,'Case-2'!$A$1:$AN$21,28,FALSE)</f>
        <v>2.34331169512546E-2</v>
      </c>
      <c r="D3">
        <f>VLOOKUP($A3,'Case-3'!$A$1:$AN$21,28,FALSE)</f>
        <v>2.445821105257041E-2</v>
      </c>
      <c r="E3">
        <f>VLOOKUP($A3,'Case-4'!$A$1:$AN$21,28,FALSE)</f>
        <v>3.8032692788701951E-2</v>
      </c>
      <c r="F3">
        <f>VLOOKUP($A3,'Case-5'!$A$1:$AN$21,28,FALSE)</f>
        <v>2.025595488880004E-2</v>
      </c>
      <c r="G3">
        <f>VLOOKUP($A3,'Case-6'!$A$1:$AN$21,28,FALSE)</f>
        <v>0</v>
      </c>
    </row>
    <row r="4" spans="1:7">
      <c r="A4" s="2">
        <v>18</v>
      </c>
      <c r="B4">
        <f>VLOOKUP($A4,'Case-1'!$A$1:$AN$21,28,FALSE)</f>
        <v>2.0174006341955739E-2</v>
      </c>
      <c r="C4">
        <f>VLOOKUP($A4,'Case-2'!$A$1:$AN$21,28,FALSE)</f>
        <v>2.819139150847582E-2</v>
      </c>
      <c r="D4">
        <f>VLOOKUP($A4,'Case-3'!$A$1:$AN$21,28,FALSE)</f>
        <v>2.6813110914294312E-2</v>
      </c>
      <c r="E4">
        <f>VLOOKUP($A4,'Case-4'!$A$1:$AN$21,28,FALSE)</f>
        <v>2.8260837075037959E-2</v>
      </c>
      <c r="F4">
        <f>VLOOKUP($A4,'Case-5'!$A$1:$AN$21,28,FALSE)</f>
        <v>2.074322046721485E-2</v>
      </c>
      <c r="G4">
        <f>VLOOKUP($A4,'Case-6'!$A$1:$AN$21,28,FALSE)</f>
        <v>5.4477645444326338E-2</v>
      </c>
    </row>
    <row r="5" spans="1:7">
      <c r="A5" s="3">
        <v>24</v>
      </c>
      <c r="B5">
        <f>VLOOKUP($A5,'Case-1'!$A$1:$AN$21,28,FALSE)</f>
        <v>2.126416220831694E-2</v>
      </c>
      <c r="C5">
        <f>VLOOKUP($A5,'Case-2'!$A$1:$AN$21,28,FALSE)</f>
        <v>2.5078135949740891E-2</v>
      </c>
      <c r="D5">
        <f>VLOOKUP($A5,'Case-3'!$A$1:$AN$21,28,FALSE)</f>
        <v>2.8869746343164089E-2</v>
      </c>
      <c r="E5">
        <f>VLOOKUP($A5,'Case-4'!$A$1:$AN$21,28,FALSE)</f>
        <v>2.424403361821895E-2</v>
      </c>
      <c r="F5">
        <f>VLOOKUP($A5,'Case-5'!$A$1:$AN$21,28,FALSE)</f>
        <v>3.4931040379306832E-2</v>
      </c>
      <c r="G5">
        <f>VLOOKUP($A5,'Case-6'!$A$1:$AN$21,28,FALSE)</f>
        <v>4.7861654013719807E-2</v>
      </c>
    </row>
    <row r="6" spans="1:7">
      <c r="A6" s="2">
        <v>30</v>
      </c>
      <c r="B6">
        <f>VLOOKUP($A6,'Case-1'!$A$1:$AN$21,28,FALSE)</f>
        <v>1.7988649201070659E-2</v>
      </c>
      <c r="C6">
        <f>VLOOKUP($A6,'Case-2'!$A$1:$AN$21,28,FALSE)</f>
        <v>2.3030175263459199E-2</v>
      </c>
      <c r="D6">
        <f>VLOOKUP($A6,'Case-3'!$A$1:$AN$21,28,FALSE)</f>
        <v>2.3128279882795869E-2</v>
      </c>
      <c r="E6">
        <f>VLOOKUP($A6,'Case-4'!$A$1:$AN$21,28,FALSE)</f>
        <v>3.2616410004101898E-2</v>
      </c>
      <c r="F6">
        <f>VLOOKUP($A6,'Case-5'!$A$1:$AN$21,28,FALSE)</f>
        <v>3.6825736976921208E-2</v>
      </c>
      <c r="G6">
        <f>VLOOKUP($A6,'Case-6'!$A$1:$AN$21,28,FALSE)</f>
        <v>5.1795569830085063E-2</v>
      </c>
    </row>
    <row r="7" spans="1:7">
      <c r="A7" s="3">
        <v>36</v>
      </c>
      <c r="B7">
        <f>VLOOKUP($A7,'Case-1'!$A$1:$AN$21,28,FALSE)</f>
        <v>1.6849830113427451E-2</v>
      </c>
      <c r="C7">
        <f>VLOOKUP($A7,'Case-2'!$A$1:$AN$21,28,FALSE)</f>
        <v>2.0949935718790551E-2</v>
      </c>
      <c r="D7">
        <f>VLOOKUP($A7,'Case-3'!$A$1:$AN$21,28,FALSE)</f>
        <v>2.056862188509001E-2</v>
      </c>
      <c r="E7">
        <f>VLOOKUP($A7,'Case-4'!$A$1:$AN$21,28,FALSE)</f>
        <v>2.838080576591432E-2</v>
      </c>
      <c r="F7">
        <f>VLOOKUP($A7,'Case-5'!$A$1:$AN$21,28,FALSE)</f>
        <v>2.9518041325181928E-2</v>
      </c>
      <c r="G7">
        <f>VLOOKUP($A7,'Case-6'!$A$1:$AN$21,28,FALSE)</f>
        <v>4.7378000612267657E-2</v>
      </c>
    </row>
    <row r="8" spans="1:7">
      <c r="A8" s="2">
        <v>42</v>
      </c>
      <c r="B8">
        <f>VLOOKUP($A8,'Case-1'!$A$1:$AN$21,28,FALSE)</f>
        <v>1.8202162854461121E-2</v>
      </c>
      <c r="C8">
        <f>VLOOKUP($A8,'Case-2'!$A$1:$AN$21,28,FALSE)</f>
        <v>1.964551439789761E-2</v>
      </c>
      <c r="D8">
        <f>VLOOKUP($A8,'Case-3'!$A$1:$AN$21,28,FALSE)</f>
        <v>2.5782116486567301E-2</v>
      </c>
      <c r="E8">
        <f>VLOOKUP($A8,'Case-4'!$A$1:$AN$21,28,FALSE)</f>
        <v>2.8984169880304628E-2</v>
      </c>
      <c r="F8">
        <f>VLOOKUP($A8,'Case-5'!$A$1:$AN$21,28,FALSE)</f>
        <v>3.5522622307114088E-2</v>
      </c>
      <c r="G8">
        <f>VLOOKUP($A8,'Case-6'!$A$1:$AN$21,28,FALSE)</f>
        <v>5.0814923841152493E-2</v>
      </c>
    </row>
    <row r="9" spans="1:7">
      <c r="A9" s="3">
        <v>48</v>
      </c>
      <c r="B9">
        <f>VLOOKUP($A9,'Case-1'!$A$1:$AN$21,28,FALSE)</f>
        <v>1.71679438912355E-2</v>
      </c>
      <c r="C9">
        <f>VLOOKUP($A9,'Case-2'!$A$1:$AN$21,28,FALSE)</f>
        <v>2.1490806072683669E-2</v>
      </c>
      <c r="D9">
        <f>VLOOKUP($A9,'Case-3'!$A$1:$AN$21,28,FALSE)</f>
        <v>2.441641283141727E-2</v>
      </c>
      <c r="E9">
        <f>VLOOKUP($A9,'Case-4'!$A$1:$AN$21,28,FALSE)</f>
        <v>2.696832397544615E-2</v>
      </c>
      <c r="F9">
        <f>VLOOKUP($A9,'Case-5'!$A$1:$AN$21,28,FALSE)</f>
        <v>3.2486167459299033E-2</v>
      </c>
      <c r="G9">
        <f>VLOOKUP($A9,'Case-6'!$A$1:$AN$21,28,FALSE)</f>
        <v>4.1676884330427433E-2</v>
      </c>
    </row>
    <row r="10" spans="1:7">
      <c r="A10" s="2">
        <v>54</v>
      </c>
      <c r="B10">
        <f>VLOOKUP($A10,'Case-1'!$A$1:$AN$21,28,FALSE)</f>
        <v>1.6849517896126081E-2</v>
      </c>
      <c r="C10">
        <f>VLOOKUP($A10,'Case-2'!$A$1:$AN$21,28,FALSE)</f>
        <v>1.9237190507001241E-2</v>
      </c>
      <c r="D10">
        <f>VLOOKUP($A10,'Case-3'!$A$1:$AN$21,28,FALSE)</f>
        <v>2.003170834654671E-2</v>
      </c>
      <c r="E10">
        <f>VLOOKUP($A10,'Case-4'!$A$1:$AN$21,28,FALSE)</f>
        <v>2.544061913797754E-2</v>
      </c>
      <c r="F10">
        <f>VLOOKUP($A10,'Case-5'!$A$1:$AN$21,28,FALSE)</f>
        <v>3.3880782028596297E-2</v>
      </c>
      <c r="G10">
        <f>VLOOKUP($A10,'Case-6'!$A$1:$AN$21,28,FALSE)</f>
        <v>4.6955197276382053E-2</v>
      </c>
    </row>
    <row r="11" spans="1:7">
      <c r="A11" s="3">
        <v>60</v>
      </c>
      <c r="B11">
        <f>VLOOKUP($A11,'Case-1'!$A$1:$AN$21,28,FALSE)</f>
        <v>1.7958022193212211E-2</v>
      </c>
      <c r="C11">
        <f>VLOOKUP($A11,'Case-2'!$A$1:$AN$21,28,FALSE)</f>
        <v>2.0641269679684961E-2</v>
      </c>
      <c r="D11">
        <f>VLOOKUP($A11,'Case-3'!$A$1:$AN$21,28,FALSE)</f>
        <v>2.511992478636001E-2</v>
      </c>
      <c r="E11">
        <f>VLOOKUP($A11,'Case-4'!$A$1:$AN$21,28,FALSE)</f>
        <v>2.8573388307196149E-2</v>
      </c>
      <c r="F11">
        <f>VLOOKUP($A11,'Case-5'!$A$1:$AN$21,28,FALSE)</f>
        <v>3.497459335234071E-2</v>
      </c>
      <c r="G11">
        <f>VLOOKUP($A11,'Case-6'!$A$1:$AN$21,28,FALSE)</f>
        <v>3.7754525421637659E-2</v>
      </c>
    </row>
    <row r="12" spans="1:7">
      <c r="A12" s="2">
        <v>66</v>
      </c>
      <c r="B12">
        <f>VLOOKUP($A12,'Case-1'!$A$1:$AN$21,28,FALSE)</f>
        <v>1.7518117220452899E-2</v>
      </c>
      <c r="C12">
        <f>VLOOKUP($A12,'Case-2'!$A$1:$AN$21,28,FALSE)</f>
        <v>2.2629240393703572E-2</v>
      </c>
      <c r="D12">
        <f>VLOOKUP($A12,'Case-3'!$A$1:$AN$21,28,FALSE)</f>
        <v>2.2024673612981362E-2</v>
      </c>
      <c r="E12">
        <f>VLOOKUP($A12,'Case-4'!$A$1:$AN$21,28,FALSE)</f>
        <v>2.520297572075943E-2</v>
      </c>
      <c r="F12">
        <f>VLOOKUP($A12,'Case-5'!$A$1:$AN$21,28,FALSE)</f>
        <v>2.961223165253991E-2</v>
      </c>
      <c r="G12">
        <f>VLOOKUP($A12,'Case-6'!$A$1:$AN$21,28,FALSE)</f>
        <v>4.1100978427700857E-2</v>
      </c>
    </row>
    <row r="13" spans="1:7">
      <c r="A13" s="3">
        <v>72</v>
      </c>
      <c r="B13">
        <f>VLOOKUP($A13,'Case-1'!$A$1:$AN$21,28,FALSE)</f>
        <v>1.442552847176912E-2</v>
      </c>
      <c r="C13">
        <f>VLOOKUP($A13,'Case-2'!$A$1:$AN$21,28,FALSE)</f>
        <v>2.2029322576593451E-2</v>
      </c>
      <c r="D13">
        <f>VLOOKUP($A13,'Case-3'!$A$1:$AN$21,28,FALSE)</f>
        <v>2.2512536149687741E-2</v>
      </c>
      <c r="E13">
        <f>VLOOKUP($A13,'Case-4'!$A$1:$AN$21,28,FALSE)</f>
        <v>2.190819593491131E-2</v>
      </c>
      <c r="F13">
        <f>VLOOKUP($A13,'Case-5'!$A$1:$AN$21,28,FALSE)</f>
        <v>3.4029974068740212E-2</v>
      </c>
      <c r="G13">
        <f>VLOOKUP($A13,'Case-6'!$A$1:$AN$21,28,FALSE)</f>
        <v>2.648225838888774E-2</v>
      </c>
    </row>
    <row r="14" spans="1:7">
      <c r="A14" s="2">
        <v>78</v>
      </c>
      <c r="B14">
        <f>VLOOKUP($A14,'Case-1'!$A$1:$AN$21,28,FALSE)</f>
        <v>1.4964142796581949E-2</v>
      </c>
      <c r="C14">
        <f>VLOOKUP($A14,'Case-2'!$A$1:$AN$21,28,FALSE)</f>
        <v>1.92165205099331E-2</v>
      </c>
      <c r="D14">
        <f>VLOOKUP($A14,'Case-3'!$A$1:$AN$21,28,FALSE)</f>
        <v>2.2934284844337662E-2</v>
      </c>
      <c r="E14">
        <f>VLOOKUP($A14,'Case-4'!$A$1:$AN$21,28,FALSE)</f>
        <v>2.822810934353167E-2</v>
      </c>
      <c r="F14">
        <f>VLOOKUP($A14,'Case-5'!$A$1:$AN$21,28,FALSE)</f>
        <v>2.580951609789776E-2</v>
      </c>
      <c r="G14">
        <f>VLOOKUP($A14,'Case-6'!$A$1:$AN$21,28,FALSE)</f>
        <v>2.8256176788486239E-2</v>
      </c>
    </row>
    <row r="15" spans="1:7">
      <c r="A15" s="3">
        <v>84</v>
      </c>
      <c r="B15">
        <f>VLOOKUP($A15,'Case-1'!$A$1:$AN$21,28,FALSE)</f>
        <v>1.665623716173768E-2</v>
      </c>
      <c r="C15">
        <f>VLOOKUP($A15,'Case-2'!$A$1:$AN$21,28,FALSE)</f>
        <v>2.1052786633104021E-2</v>
      </c>
      <c r="D15">
        <f>VLOOKUP($A15,'Case-3'!$A$1:$AN$21,28,FALSE)</f>
        <v>1.9756972645764689E-2</v>
      </c>
      <c r="E15">
        <f>VLOOKUP($A15,'Case-4'!$A$1:$AN$21,28,FALSE)</f>
        <v>2.3727532382716209E-2</v>
      </c>
      <c r="F15">
        <f>VLOOKUP($A15,'Case-5'!$A$1:$AN$21,28,FALSE)</f>
        <v>2.274119428871502E-2</v>
      </c>
      <c r="G15">
        <f>VLOOKUP($A15,'Case-6'!$A$1:$AN$21,28,FALSE)</f>
        <v>3.9572187235967018E-2</v>
      </c>
    </row>
    <row r="16" spans="1:7">
      <c r="A16" s="2">
        <v>90</v>
      </c>
      <c r="B16">
        <f>VLOOKUP($A16,'Case-1'!$A$1:$AN$21,28,FALSE)</f>
        <v>1.6777148285395841E-2</v>
      </c>
      <c r="C16">
        <f>VLOOKUP($A16,'Case-2'!$A$1:$AN$21,28,FALSE)</f>
        <v>1.948461446076305E-2</v>
      </c>
      <c r="D16">
        <f>VLOOKUP($A16,'Case-3'!$A$1:$AN$21,28,FALSE)</f>
        <v>1.8073056939410359E-2</v>
      </c>
      <c r="E16">
        <f>VLOOKUP($A16,'Case-4'!$A$1:$AN$21,28,FALSE)</f>
        <v>2.5760493740117921E-2</v>
      </c>
      <c r="F16">
        <f>VLOOKUP($A16,'Case-5'!$A$1:$AN$21,28,FALSE)</f>
        <v>3.037962157967997E-2</v>
      </c>
      <c r="G16">
        <f>VLOOKUP($A16,'Case-6'!$A$1:$AN$21,28,FALSE)</f>
        <v>3.5202760708491238E-2</v>
      </c>
    </row>
    <row r="17" spans="1:7">
      <c r="A17" s="3">
        <v>96</v>
      </c>
      <c r="B17">
        <f>VLOOKUP($A17,'Case-1'!$A$1:$AN$21,28,FALSE)</f>
        <v>1.5995935499033151E-2</v>
      </c>
      <c r="C17">
        <f>VLOOKUP($A17,'Case-2'!$A$1:$AN$21,28,FALSE)</f>
        <v>1.965840423397805E-2</v>
      </c>
      <c r="D17">
        <f>VLOOKUP($A17,'Case-3'!$A$1:$AN$21,28,FALSE)</f>
        <v>1.874963557060615E-2</v>
      </c>
      <c r="E17">
        <f>VLOOKUP($A17,'Case-4'!$A$1:$AN$21,28,FALSE)</f>
        <v>2.4517824638157139E-2</v>
      </c>
      <c r="F17">
        <f>VLOOKUP($A17,'Case-5'!$A$1:$AN$21,28,FALSE)</f>
        <v>2.957933086185778E-2</v>
      </c>
      <c r="G17">
        <f>VLOOKUP($A17,'Case-6'!$A$1:$AN$21,28,FALSE)</f>
        <v>3.7794984586586151E-2</v>
      </c>
    </row>
    <row r="18" spans="1:7">
      <c r="A18" s="2">
        <v>102</v>
      </c>
      <c r="B18">
        <f>VLOOKUP($A18,'Case-1'!$A$1:$AN$21,28,FALSE)</f>
        <v>1.5975080643839769E-2</v>
      </c>
      <c r="C18">
        <f>VLOOKUP($A18,'Case-2'!$A$1:$AN$21,28,FALSE)</f>
        <v>2.2375937360980841E-2</v>
      </c>
      <c r="D18">
        <f>VLOOKUP($A18,'Case-3'!$A$1:$AN$21,28,FALSE)</f>
        <v>2.0794715948449172E-2</v>
      </c>
      <c r="E18">
        <f>VLOOKUP($A18,'Case-4'!$A$1:$AN$21,28,FALSE)</f>
        <v>2.2103041781436301E-2</v>
      </c>
      <c r="F18">
        <f>VLOOKUP($A18,'Case-5'!$A$1:$AN$21,28,FALSE)</f>
        <v>2.4088206123517929E-2</v>
      </c>
      <c r="G18">
        <f>VLOOKUP($A18,'Case-6'!$A$1:$AN$21,28,FALSE)</f>
        <v>1.7329052408814029E-2</v>
      </c>
    </row>
    <row r="19" spans="1:7">
      <c r="A19" s="3">
        <v>108</v>
      </c>
      <c r="B19">
        <f>VLOOKUP($A19,'Case-1'!$A$1:$AN$21,28,FALSE)</f>
        <v>1.2964449653692719E-2</v>
      </c>
      <c r="C19">
        <f>VLOOKUP($A19,'Case-2'!$A$1:$AN$21,28,FALSE)</f>
        <v>1.8955814342308031E-2</v>
      </c>
      <c r="D19">
        <f>VLOOKUP($A19,'Case-3'!$A$1:$AN$21,28,FALSE)</f>
        <v>1.8589945498283932E-2</v>
      </c>
      <c r="E19">
        <f>VLOOKUP($A19,'Case-4'!$A$1:$AN$21,28,FALSE)</f>
        <v>2.2725770349583039E-2</v>
      </c>
      <c r="F19">
        <f>VLOOKUP($A19,'Case-5'!$A$1:$AN$21,28,FALSE)</f>
        <v>2.5513019531099169E-2</v>
      </c>
      <c r="G19">
        <f>VLOOKUP($A19,'Case-6'!$A$1:$AN$21,28,FALSE)</f>
        <v>3.7543116302821332E-2</v>
      </c>
    </row>
    <row r="20" spans="1:7">
      <c r="A20" s="2">
        <v>114</v>
      </c>
      <c r="B20">
        <f>VLOOKUP($A20,'Case-1'!$A$1:$AN$21,28,FALSE)</f>
        <v>1.4608809433921011E-2</v>
      </c>
      <c r="C20">
        <f>VLOOKUP($A20,'Case-2'!$A$1:$AN$21,28,FALSE)</f>
        <v>2.0625232418063889E-2</v>
      </c>
      <c r="D20">
        <f>VLOOKUP($A20,'Case-3'!$A$1:$AN$21,28,FALSE)</f>
        <v>1.8179052271125401E-2</v>
      </c>
      <c r="E20">
        <f>VLOOKUP($A20,'Case-4'!$A$1:$AN$21,28,FALSE)</f>
        <v>2.445711401618544E-2</v>
      </c>
      <c r="F20">
        <f>VLOOKUP($A20,'Case-5'!$A$1:$AN$21,28,FALSE)</f>
        <v>2.471302112933544E-2</v>
      </c>
      <c r="G20">
        <f>VLOOKUP($A20,'Case-6'!$A$1:$AN$21,28,FALSE)</f>
        <v>1.7607331848451181E-2</v>
      </c>
    </row>
    <row r="21" spans="1:7">
      <c r="A21" s="3">
        <v>120</v>
      </c>
      <c r="B21">
        <f>VLOOKUP($A21,'Case-1'!$A$1:$AN$21,28,FALSE)</f>
        <v>1.401683144306963E-2</v>
      </c>
      <c r="C21">
        <f>VLOOKUP($A21,'Case-2'!$A$1:$AN$21,28,FALSE)</f>
        <v>2.0360033761550989E-2</v>
      </c>
      <c r="D21">
        <f>VLOOKUP($A21,'Case-3'!$A$1:$AN$21,28,FALSE)</f>
        <v>2.014416991710509E-2</v>
      </c>
      <c r="E21">
        <f>VLOOKUP($A21,'Case-4'!$A$1:$AN$21,28,FALSE)</f>
        <v>2.425766865219119E-2</v>
      </c>
      <c r="F21">
        <f>VLOOKUP($A21,'Case-5'!$A$1:$AN$21,28,FALSE)</f>
        <v>3.0623713548466588E-2</v>
      </c>
      <c r="G21">
        <f>VLOOKUP($A21,'Case-6'!$A$1:$AN$21,28,FALSE)</f>
        <v>2.1256678947788581E-2</v>
      </c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9247-41CC-4CC9-8E7A-27E275E7958B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VLOOKUP($A2,'Case-1'!$A$1:$AN$21,29,FALSE)</f>
        <v>0.38242833333333331</v>
      </c>
      <c r="C2">
        <f>VLOOKUP($A2,'Case-2'!$A$1:$AN$21,29,FALSE)</f>
        <v>0.39327666666666672</v>
      </c>
      <c r="D2">
        <f>VLOOKUP($A2,'Case-3'!$A$1:$AN$21,29,FALSE)</f>
        <v>0.37456875876187778</v>
      </c>
      <c r="E2">
        <f>VLOOKUP($A2,'Case-4'!$A$1:$AN$21,29,FALSE)</f>
        <v>0.31829050671550652</v>
      </c>
      <c r="F2">
        <f>VLOOKUP($A2,'Case-5'!$A$1:$AN$21,29,FALSE)</f>
        <v>0.38571654355018892</v>
      </c>
      <c r="G2">
        <f>VLOOKUP($A2,'Case-6'!$A$1:$AN$21,29,FALSE)</f>
        <v>0.31285333450948749</v>
      </c>
    </row>
    <row r="3" spans="1:7">
      <c r="A3" s="3">
        <v>12</v>
      </c>
      <c r="B3">
        <f>VLOOKUP($A3,'Case-1'!$A$1:$AN$21,29,FALSE)</f>
        <v>0.40519160173160168</v>
      </c>
      <c r="C3">
        <f>VLOOKUP($A3,'Case-2'!$A$1:$AN$21,29,FALSE)</f>
        <v>0.37724359420893849</v>
      </c>
      <c r="D3">
        <f>VLOOKUP($A3,'Case-3'!$A$1:$AN$21,29,FALSE)</f>
        <v>0.34278295518922219</v>
      </c>
      <c r="E3">
        <f>VLOOKUP($A3,'Case-4'!$A$1:$AN$21,29,FALSE)</f>
        <v>0.32878075848068328</v>
      </c>
      <c r="F3">
        <f>VLOOKUP($A3,'Case-5'!$A$1:$AN$21,29,FALSE)</f>
        <v>0.32759940733283299</v>
      </c>
      <c r="G3">
        <f>VLOOKUP($A3,'Case-6'!$A$1:$AN$21,29,FALSE)</f>
        <v>0.32365730038352319</v>
      </c>
    </row>
    <row r="4" spans="1:7">
      <c r="A4" s="2">
        <v>18</v>
      </c>
      <c r="B4">
        <f>VLOOKUP($A4,'Case-1'!$A$1:$AN$21,29,FALSE)</f>
        <v>0.3977081793370027</v>
      </c>
      <c r="C4">
        <f>VLOOKUP($A4,'Case-2'!$A$1:$AN$21,29,FALSE)</f>
        <v>0.39742581901391538</v>
      </c>
      <c r="D4">
        <f>VLOOKUP($A4,'Case-3'!$A$1:$AN$21,29,FALSE)</f>
        <v>0.35450353501808091</v>
      </c>
      <c r="E4">
        <f>VLOOKUP($A4,'Case-4'!$A$1:$AN$21,29,FALSE)</f>
        <v>0.33527465405450818</v>
      </c>
      <c r="F4">
        <f>VLOOKUP($A4,'Case-5'!$A$1:$AN$21,29,FALSE)</f>
        <v>0.33323499536900542</v>
      </c>
      <c r="G4">
        <f>VLOOKUP($A4,'Case-6'!$A$1:$AN$21,29,FALSE)</f>
        <v>0.32940776251796428</v>
      </c>
    </row>
    <row r="5" spans="1:7">
      <c r="A5" s="3">
        <v>24</v>
      </c>
      <c r="B5">
        <f>VLOOKUP($A5,'Case-1'!$A$1:$AN$21,29,FALSE)</f>
        <v>0.39052783779861477</v>
      </c>
      <c r="C5">
        <f>VLOOKUP($A5,'Case-2'!$A$1:$AN$21,29,FALSE)</f>
        <v>0.38379066925532712</v>
      </c>
      <c r="D5">
        <f>VLOOKUP($A5,'Case-3'!$A$1:$AN$21,29,FALSE)</f>
        <v>0.35582606521852639</v>
      </c>
      <c r="E5">
        <f>VLOOKUP($A5,'Case-4'!$A$1:$AN$21,29,FALSE)</f>
        <v>0.33749783842902209</v>
      </c>
      <c r="F5">
        <f>VLOOKUP($A5,'Case-5'!$A$1:$AN$21,29,FALSE)</f>
        <v>0.3323777070609637</v>
      </c>
      <c r="G5">
        <f>VLOOKUP($A5,'Case-6'!$A$1:$AN$21,29,FALSE)</f>
        <v>0.32893306557138269</v>
      </c>
    </row>
    <row r="6" spans="1:7">
      <c r="A6" s="2">
        <v>30</v>
      </c>
      <c r="B6">
        <f>VLOOKUP($A6,'Case-1'!$A$1:$AN$21,29,FALSE)</f>
        <v>0.40411330257246553</v>
      </c>
      <c r="C6">
        <f>VLOOKUP($A6,'Case-2'!$A$1:$AN$21,29,FALSE)</f>
        <v>0.37833596080400261</v>
      </c>
      <c r="D6">
        <f>VLOOKUP($A6,'Case-3'!$A$1:$AN$21,29,FALSE)</f>
        <v>0.35350034597676011</v>
      </c>
      <c r="E6">
        <f>VLOOKUP($A6,'Case-4'!$A$1:$AN$21,29,FALSE)</f>
        <v>0.34335641242911119</v>
      </c>
      <c r="F6">
        <f>VLOOKUP($A6,'Case-5'!$A$1:$AN$21,29,FALSE)</f>
        <v>0.33626430961349008</v>
      </c>
      <c r="G6">
        <f>VLOOKUP($A6,'Case-6'!$A$1:$AN$21,29,FALSE)</f>
        <v>0.33252205349620501</v>
      </c>
    </row>
    <row r="7" spans="1:7">
      <c r="A7" s="3">
        <v>36</v>
      </c>
      <c r="B7">
        <f>VLOOKUP($A7,'Case-1'!$A$1:$AN$21,29,FALSE)</f>
        <v>0.40535359598022791</v>
      </c>
      <c r="C7">
        <f>VLOOKUP($A7,'Case-2'!$A$1:$AN$21,29,FALSE)</f>
        <v>0.38710336322287159</v>
      </c>
      <c r="D7">
        <f>VLOOKUP($A7,'Case-3'!$A$1:$AN$21,29,FALSE)</f>
        <v>0.35213522494986549</v>
      </c>
      <c r="E7">
        <f>VLOOKUP($A7,'Case-4'!$A$1:$AN$21,29,FALSE)</f>
        <v>0.34243118046187232</v>
      </c>
      <c r="F7">
        <f>VLOOKUP($A7,'Case-5'!$A$1:$AN$21,29,FALSE)</f>
        <v>0.33330595360406728</v>
      </c>
      <c r="G7">
        <f>VLOOKUP($A7,'Case-6'!$A$1:$AN$21,29,FALSE)</f>
        <v>0.33187899578077751</v>
      </c>
    </row>
    <row r="8" spans="1:7">
      <c r="A8" s="2">
        <v>42</v>
      </c>
      <c r="B8">
        <f>VLOOKUP($A8,'Case-1'!$A$1:$AN$21,29,FALSE)</f>
        <v>0.39248886364917379</v>
      </c>
      <c r="C8">
        <f>VLOOKUP($A8,'Case-2'!$A$1:$AN$21,29,FALSE)</f>
        <v>0.38414211685010202</v>
      </c>
      <c r="D8">
        <f>VLOOKUP($A8,'Case-3'!$A$1:$AN$21,29,FALSE)</f>
        <v>0.35617815702188832</v>
      </c>
      <c r="E8">
        <f>VLOOKUP($A8,'Case-4'!$A$1:$AN$21,29,FALSE)</f>
        <v>0.34182717293351178</v>
      </c>
      <c r="F8">
        <f>VLOOKUP($A8,'Case-5'!$A$1:$AN$21,29,FALSE)</f>
        <v>0.33833540839296528</v>
      </c>
      <c r="G8">
        <f>VLOOKUP($A8,'Case-6'!$A$1:$AN$21,29,FALSE)</f>
        <v>0.33288017849933788</v>
      </c>
    </row>
    <row r="9" spans="1:7">
      <c r="A9" s="3">
        <v>48</v>
      </c>
      <c r="B9">
        <f>VLOOKUP($A9,'Case-1'!$A$1:$AN$21,29,FALSE)</f>
        <v>0.40280206191962309</v>
      </c>
      <c r="C9">
        <f>VLOOKUP($A9,'Case-2'!$A$1:$AN$21,29,FALSE)</f>
        <v>0.3841355763016438</v>
      </c>
      <c r="D9">
        <f>VLOOKUP($A9,'Case-3'!$A$1:$AN$21,29,FALSE)</f>
        <v>0.35359607551739652</v>
      </c>
      <c r="E9">
        <f>VLOOKUP($A9,'Case-4'!$A$1:$AN$21,29,FALSE)</f>
        <v>0.34315596457297798</v>
      </c>
      <c r="F9">
        <f>VLOOKUP($A9,'Case-5'!$A$1:$AN$21,29,FALSE)</f>
        <v>0.33809130291107969</v>
      </c>
      <c r="G9">
        <f>VLOOKUP($A9,'Case-6'!$A$1:$AN$21,29,FALSE)</f>
        <v>0.33379586286972368</v>
      </c>
    </row>
    <row r="10" spans="1:7">
      <c r="A10" s="2">
        <v>54</v>
      </c>
      <c r="B10">
        <f>VLOOKUP($A10,'Case-1'!$A$1:$AN$21,29,FALSE)</f>
        <v>0.39523091021105961</v>
      </c>
      <c r="C10">
        <f>VLOOKUP($A10,'Case-2'!$A$1:$AN$21,29,FALSE)</f>
        <v>0.38597572804577363</v>
      </c>
      <c r="D10">
        <f>VLOOKUP($A10,'Case-3'!$A$1:$AN$21,29,FALSE)</f>
        <v>0.35528078266882368</v>
      </c>
      <c r="E10">
        <f>VLOOKUP($A10,'Case-4'!$A$1:$AN$21,29,FALSE)</f>
        <v>0.34446077114506468</v>
      </c>
      <c r="F10">
        <f>VLOOKUP($A10,'Case-5'!$A$1:$AN$21,29,FALSE)</f>
        <v>0.33730598106977339</v>
      </c>
      <c r="G10">
        <f>VLOOKUP($A10,'Case-6'!$A$1:$AN$21,29,FALSE)</f>
        <v>0.33283125873199132</v>
      </c>
    </row>
    <row r="11" spans="1:7">
      <c r="A11" s="3">
        <v>60</v>
      </c>
      <c r="B11">
        <f>VLOOKUP($A11,'Case-1'!$A$1:$AN$21,29,FALSE)</f>
        <v>0.39741493461192973</v>
      </c>
      <c r="C11">
        <f>VLOOKUP($A11,'Case-2'!$A$1:$AN$21,29,FALSE)</f>
        <v>0.37945899133997352</v>
      </c>
      <c r="D11">
        <f>VLOOKUP($A11,'Case-3'!$A$1:$AN$21,29,FALSE)</f>
        <v>0.35557260490822928</v>
      </c>
      <c r="E11">
        <f>VLOOKUP($A11,'Case-4'!$A$1:$AN$21,29,FALSE)</f>
        <v>0.34383971524980689</v>
      </c>
      <c r="F11">
        <f>VLOOKUP($A11,'Case-5'!$A$1:$AN$21,29,FALSE)</f>
        <v>0.33722939921679579</v>
      </c>
      <c r="G11">
        <f>VLOOKUP($A11,'Case-6'!$A$1:$AN$21,29,FALSE)</f>
        <v>0.33451080298346503</v>
      </c>
    </row>
    <row r="12" spans="1:7">
      <c r="A12" s="2">
        <v>66</v>
      </c>
      <c r="B12">
        <f>VLOOKUP($A12,'Case-1'!$A$1:$AN$21,29,FALSE)</f>
        <v>0.39427261231443839</v>
      </c>
      <c r="C12">
        <f>VLOOKUP($A12,'Case-2'!$A$1:$AN$21,29,FALSE)</f>
        <v>0.38377263740201251</v>
      </c>
      <c r="D12">
        <f>VLOOKUP($A12,'Case-3'!$A$1:$AN$21,29,FALSE)</f>
        <v>0.35657006152388449</v>
      </c>
      <c r="E12">
        <f>VLOOKUP($A12,'Case-4'!$A$1:$AN$21,29,FALSE)</f>
        <v>0.3428934122983921</v>
      </c>
      <c r="F12">
        <f>VLOOKUP($A12,'Case-5'!$A$1:$AN$21,29,FALSE)</f>
        <v>0.33939959521767071</v>
      </c>
      <c r="G12">
        <f>VLOOKUP($A12,'Case-6'!$A$1:$AN$21,29,FALSE)</f>
        <v>0.33325811243330572</v>
      </c>
    </row>
    <row r="13" spans="1:7">
      <c r="A13" s="3">
        <v>72</v>
      </c>
      <c r="B13">
        <f>VLOOKUP($A13,'Case-1'!$A$1:$AN$21,29,FALSE)</f>
        <v>0.39345807220903167</v>
      </c>
      <c r="C13">
        <f>VLOOKUP($A13,'Case-2'!$A$1:$AN$21,29,FALSE)</f>
        <v>0.38676576198843082</v>
      </c>
      <c r="D13">
        <f>VLOOKUP($A13,'Case-3'!$A$1:$AN$21,29,FALSE)</f>
        <v>0.35441798050216949</v>
      </c>
      <c r="E13">
        <f>VLOOKUP($A13,'Case-4'!$A$1:$AN$21,29,FALSE)</f>
        <v>0.34409788775165828</v>
      </c>
      <c r="F13">
        <f>VLOOKUP($A13,'Case-5'!$A$1:$AN$21,29,FALSE)</f>
        <v>0.33757044896119259</v>
      </c>
      <c r="G13">
        <f>VLOOKUP($A13,'Case-6'!$A$1:$AN$21,29,FALSE)</f>
        <v>0.33454680408852222</v>
      </c>
    </row>
    <row r="14" spans="1:7">
      <c r="A14" s="2">
        <v>78</v>
      </c>
      <c r="B14">
        <f>VLOOKUP($A14,'Case-1'!$A$1:$AN$21,29,FALSE)</f>
        <v>0.39553761414341632</v>
      </c>
      <c r="C14">
        <f>VLOOKUP($A14,'Case-2'!$A$1:$AN$21,29,FALSE)</f>
        <v>0.38706356911334638</v>
      </c>
      <c r="D14">
        <f>VLOOKUP($A14,'Case-3'!$A$1:$AN$21,29,FALSE)</f>
        <v>0.35596417312238721</v>
      </c>
      <c r="E14">
        <f>VLOOKUP($A14,'Case-4'!$A$1:$AN$21,29,FALSE)</f>
        <v>0.34574691769768062</v>
      </c>
      <c r="F14">
        <f>VLOOKUP($A14,'Case-5'!$A$1:$AN$21,29,FALSE)</f>
        <v>0.33787043789210858</v>
      </c>
      <c r="G14">
        <f>VLOOKUP($A14,'Case-6'!$A$1:$AN$21,29,FALSE)</f>
        <v>0.33382906806320212</v>
      </c>
    </row>
    <row r="15" spans="1:7">
      <c r="A15" s="3">
        <v>84</v>
      </c>
      <c r="B15">
        <f>VLOOKUP($A15,'Case-1'!$A$1:$AN$21,29,FALSE)</f>
        <v>0.39672156493123129</v>
      </c>
      <c r="C15">
        <f>VLOOKUP($A15,'Case-2'!$A$1:$AN$21,29,FALSE)</f>
        <v>0.39082846121635267</v>
      </c>
      <c r="D15">
        <f>VLOOKUP($A15,'Case-3'!$A$1:$AN$21,29,FALSE)</f>
        <v>0.35821367356839429</v>
      </c>
      <c r="E15">
        <f>VLOOKUP($A15,'Case-4'!$A$1:$AN$21,29,FALSE)</f>
        <v>0.34773352472718189</v>
      </c>
      <c r="F15">
        <f>VLOOKUP($A15,'Case-5'!$A$1:$AN$21,29,FALSE)</f>
        <v>0.33681455228810031</v>
      </c>
      <c r="G15">
        <f>VLOOKUP($A15,'Case-6'!$A$1:$AN$21,29,FALSE)</f>
        <v>0.33391511818299757</v>
      </c>
    </row>
    <row r="16" spans="1:7">
      <c r="A16" s="2">
        <v>90</v>
      </c>
      <c r="B16">
        <f>VLOOKUP($A16,'Case-1'!$A$1:$AN$21,29,FALSE)</f>
        <v>0.39678573715346233</v>
      </c>
      <c r="C16">
        <f>VLOOKUP($A16,'Case-2'!$A$1:$AN$21,29,FALSE)</f>
        <v>0.38483871254607949</v>
      </c>
      <c r="D16">
        <f>VLOOKUP($A16,'Case-3'!$A$1:$AN$21,29,FALSE)</f>
        <v>0.35547140308664971</v>
      </c>
      <c r="E16">
        <f>VLOOKUP($A16,'Case-4'!$A$1:$AN$21,29,FALSE)</f>
        <v>0.34966456235689652</v>
      </c>
      <c r="F16">
        <f>VLOOKUP($A16,'Case-5'!$A$1:$AN$21,29,FALSE)</f>
        <v>0.34026957417265508</v>
      </c>
      <c r="G16">
        <f>VLOOKUP($A16,'Case-6'!$A$1:$AN$21,29,FALSE)</f>
        <v>0.33458048633057769</v>
      </c>
    </row>
    <row r="17" spans="1:7">
      <c r="A17" s="3">
        <v>96</v>
      </c>
      <c r="B17">
        <f>VLOOKUP($A17,'Case-1'!$A$1:$AN$21,29,FALSE)</f>
        <v>0.40262044439736022</v>
      </c>
      <c r="C17">
        <f>VLOOKUP($A17,'Case-2'!$A$1:$AN$21,29,FALSE)</f>
        <v>0.38427447082316918</v>
      </c>
      <c r="D17">
        <f>VLOOKUP($A17,'Case-3'!$A$1:$AN$21,29,FALSE)</f>
        <v>0.35858613837631292</v>
      </c>
      <c r="E17">
        <f>VLOOKUP($A17,'Case-4'!$A$1:$AN$21,29,FALSE)</f>
        <v>0.34656174018283548</v>
      </c>
      <c r="F17">
        <f>VLOOKUP($A17,'Case-5'!$A$1:$AN$21,29,FALSE)</f>
        <v>0.33928006988371018</v>
      </c>
      <c r="G17">
        <f>VLOOKUP($A17,'Case-6'!$A$1:$AN$21,29,FALSE)</f>
        <v>0.33477800319209988</v>
      </c>
    </row>
    <row r="18" spans="1:7">
      <c r="A18" s="2">
        <v>102</v>
      </c>
      <c r="B18">
        <f>VLOOKUP($A18,'Case-1'!$A$1:$AN$21,29,FALSE)</f>
        <v>0.40013441305263681</v>
      </c>
      <c r="C18">
        <f>VLOOKUP($A18,'Case-2'!$A$1:$AN$21,29,FALSE)</f>
        <v>0.38807281610590832</v>
      </c>
      <c r="D18">
        <f>VLOOKUP($A18,'Case-3'!$A$1:$AN$21,29,FALSE)</f>
        <v>0.35730590356857461</v>
      </c>
      <c r="E18">
        <f>VLOOKUP($A18,'Case-4'!$A$1:$AN$21,29,FALSE)</f>
        <v>0.34770450941161463</v>
      </c>
      <c r="F18">
        <f>VLOOKUP($A18,'Case-5'!$A$1:$AN$21,29,FALSE)</f>
        <v>0.34109952183952608</v>
      </c>
      <c r="G18">
        <f>VLOOKUP($A18,'Case-6'!$A$1:$AN$21,29,FALSE)</f>
        <v>0.33691701312904659</v>
      </c>
    </row>
    <row r="19" spans="1:7">
      <c r="A19" s="3">
        <v>108</v>
      </c>
      <c r="B19">
        <f>VLOOKUP($A19,'Case-1'!$A$1:$AN$21,29,FALSE)</f>
        <v>0.39955541733334171</v>
      </c>
      <c r="C19">
        <f>VLOOKUP($A19,'Case-2'!$A$1:$AN$21,29,FALSE)</f>
        <v>0.38552250117240672</v>
      </c>
      <c r="D19">
        <f>VLOOKUP($A19,'Case-3'!$A$1:$AN$21,29,FALSE)</f>
        <v>0.35674953934880332</v>
      </c>
      <c r="E19">
        <f>VLOOKUP($A19,'Case-4'!$A$1:$AN$21,29,FALSE)</f>
        <v>0.3445014127872047</v>
      </c>
      <c r="F19">
        <f>VLOOKUP($A19,'Case-5'!$A$1:$AN$21,29,FALSE)</f>
        <v>0.33887160191427967</v>
      </c>
      <c r="G19">
        <f>VLOOKUP($A19,'Case-6'!$A$1:$AN$21,29,FALSE)</f>
        <v>0.33440706077138549</v>
      </c>
    </row>
    <row r="20" spans="1:7">
      <c r="A20" s="2">
        <v>114</v>
      </c>
      <c r="B20">
        <f>VLOOKUP($A20,'Case-1'!$A$1:$AN$21,29,FALSE)</f>
        <v>0.39741996471437713</v>
      </c>
      <c r="C20">
        <f>VLOOKUP($A20,'Case-2'!$A$1:$AN$21,29,FALSE)</f>
        <v>0.38813796409425022</v>
      </c>
      <c r="D20">
        <f>VLOOKUP($A20,'Case-3'!$A$1:$AN$21,29,FALSE)</f>
        <v>0.35670093491815769</v>
      </c>
      <c r="E20">
        <f>VLOOKUP($A20,'Case-4'!$A$1:$AN$21,29,FALSE)</f>
        <v>0.34639404953358338</v>
      </c>
      <c r="F20">
        <f>VLOOKUP($A20,'Case-5'!$A$1:$AN$21,29,FALSE)</f>
        <v>0.33733769750263198</v>
      </c>
      <c r="G20">
        <f>VLOOKUP($A20,'Case-6'!$A$1:$AN$21,29,FALSE)</f>
        <v>0.3331198897938431</v>
      </c>
    </row>
    <row r="21" spans="1:7">
      <c r="A21" s="3">
        <v>120</v>
      </c>
      <c r="B21">
        <f>VLOOKUP($A21,'Case-1'!$A$1:$AN$21,29,FALSE)</f>
        <v>0.39759699854300817</v>
      </c>
      <c r="C21">
        <f>VLOOKUP($A21,'Case-2'!$A$1:$AN$21,29,FALSE)</f>
        <v>0.3847810044464875</v>
      </c>
      <c r="D21">
        <f>VLOOKUP($A21,'Case-3'!$A$1:$AN$21,29,FALSE)</f>
        <v>0.3579754761871059</v>
      </c>
      <c r="E21">
        <f>VLOOKUP($A21,'Case-4'!$A$1:$AN$21,29,FALSE)</f>
        <v>0.34765778643749479</v>
      </c>
      <c r="F21">
        <f>VLOOKUP($A21,'Case-5'!$A$1:$AN$21,29,FALSE)</f>
        <v>0.3376524339623348</v>
      </c>
      <c r="G21">
        <f>VLOOKUP($A21,'Case-6'!$A$1:$AN$21,29,FALSE)</f>
        <v>0.33520761519545428</v>
      </c>
    </row>
    <row r="22" spans="1:7">
      <c r="B22">
        <f>AVERAGE(B2:B21)</f>
        <v>0.39736812299686675</v>
      </c>
      <c r="C22">
        <f t="shared" ref="C22:G22" si="0">AVERAGE(C2:C21)</f>
        <v>0.38574731923088296</v>
      </c>
      <c r="D22">
        <f t="shared" si="0"/>
        <v>0.35609498947165552</v>
      </c>
      <c r="E22">
        <f t="shared" si="0"/>
        <v>0.34209353888283034</v>
      </c>
      <c r="F22">
        <f t="shared" si="0"/>
        <v>0.33928134708776858</v>
      </c>
      <c r="G22">
        <f t="shared" si="0"/>
        <v>0.33189148932621465</v>
      </c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8755-6DC9-4720-9D38-45518600D571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VLOOKUP($A2,'Case-1'!$A$1:$AN$21,30,FALSE)</f>
        <v>0.12683112187077741</v>
      </c>
      <c r="C2">
        <f>VLOOKUP($A2,'Case-2'!$A$1:$AN$21,30,FALSE)</f>
        <v>0.14214055293577871</v>
      </c>
      <c r="D2">
        <f>VLOOKUP($A2,'Case-3'!$A$1:$AN$21,30,FALSE)</f>
        <v>0.1063995934461702</v>
      </c>
      <c r="E2">
        <f>VLOOKUP($A2,'Case-4'!$A$1:$AN$21,30,FALSE)</f>
        <v>4.0823568833828011E-2</v>
      </c>
      <c r="F2">
        <f>VLOOKUP($A2,'Case-5'!$A$1:$AN$21,30,FALSE)</f>
        <v>0.1048234950374317</v>
      </c>
      <c r="G2">
        <f>VLOOKUP($A2,'Case-6'!$A$1:$AN$21,30,FALSE)</f>
        <v>1.26819368131229E-2</v>
      </c>
    </row>
    <row r="3" spans="1:7">
      <c r="A3" s="3">
        <v>12</v>
      </c>
      <c r="B3">
        <f>VLOOKUP($A3,'Case-1'!$A$1:$AN$21,30,FALSE)</f>
        <v>8.3251849865919339E-2</v>
      </c>
      <c r="C3">
        <f>VLOOKUP($A3,'Case-2'!$A$1:$AN$21,30,FALSE)</f>
        <v>7.7168808669211636E-2</v>
      </c>
      <c r="D3">
        <f>VLOOKUP($A3,'Case-3'!$A$1:$AN$21,30,FALSE)</f>
        <v>4.7112640062319792E-2</v>
      </c>
      <c r="E3">
        <f>VLOOKUP($A3,'Case-4'!$A$1:$AN$21,30,FALSE)</f>
        <v>2.8782882978340051E-2</v>
      </c>
      <c r="F3">
        <f>VLOOKUP($A3,'Case-5'!$A$1:$AN$21,30,FALSE)</f>
        <v>1.6583648421230921E-2</v>
      </c>
      <c r="G3">
        <f>VLOOKUP($A3,'Case-6'!$A$1:$AN$21,30,FALSE)</f>
        <v>8.7357715710929661E-3</v>
      </c>
    </row>
    <row r="4" spans="1:7">
      <c r="A4" s="2">
        <v>18</v>
      </c>
      <c r="B4">
        <f>VLOOKUP($A4,'Case-1'!$A$1:$AN$21,30,FALSE)</f>
        <v>7.1335475999922945E-2</v>
      </c>
      <c r="C4">
        <f>VLOOKUP($A4,'Case-2'!$A$1:$AN$21,30,FALSE)</f>
        <v>6.3673881130222765E-2</v>
      </c>
      <c r="D4">
        <f>VLOOKUP($A4,'Case-3'!$A$1:$AN$21,30,FALSE)</f>
        <v>3.1339607164662053E-2</v>
      </c>
      <c r="E4">
        <f>VLOOKUP($A4,'Case-4'!$A$1:$AN$21,30,FALSE)</f>
        <v>2.3214575978908719E-2</v>
      </c>
      <c r="F4">
        <f>VLOOKUP($A4,'Case-5'!$A$1:$AN$21,30,FALSE)</f>
        <v>1.4613825482303699E-2</v>
      </c>
      <c r="G4">
        <f>VLOOKUP($A4,'Case-6'!$A$1:$AN$21,30,FALSE)</f>
        <v>9.9669581406574958E-3</v>
      </c>
    </row>
    <row r="5" spans="1:7">
      <c r="A5" s="3">
        <v>24</v>
      </c>
      <c r="B5">
        <f>VLOOKUP($A5,'Case-1'!$A$1:$AN$21,30,FALSE)</f>
        <v>5.7172826709414343E-2</v>
      </c>
      <c r="C5">
        <f>VLOOKUP($A5,'Case-2'!$A$1:$AN$21,30,FALSE)</f>
        <v>4.6909801869783101E-2</v>
      </c>
      <c r="D5">
        <f>VLOOKUP($A5,'Case-3'!$A$1:$AN$21,30,FALSE)</f>
        <v>3.0221707550072439E-2</v>
      </c>
      <c r="E5">
        <f>VLOOKUP($A5,'Case-4'!$A$1:$AN$21,30,FALSE)</f>
        <v>2.100584292307376E-2</v>
      </c>
      <c r="F5">
        <f>VLOOKUP($A5,'Case-5'!$A$1:$AN$21,30,FALSE)</f>
        <v>1.288166947932138E-2</v>
      </c>
      <c r="G5">
        <f>VLOOKUP($A5,'Case-6'!$A$1:$AN$21,30,FALSE)</f>
        <v>7.4690303580739756E-3</v>
      </c>
    </row>
    <row r="6" spans="1:7">
      <c r="A6" s="2">
        <v>30</v>
      </c>
      <c r="B6">
        <f>VLOOKUP($A6,'Case-1'!$A$1:$AN$21,30,FALSE)</f>
        <v>5.8648061268702749E-2</v>
      </c>
      <c r="C6">
        <f>VLOOKUP($A6,'Case-2'!$A$1:$AN$21,30,FALSE)</f>
        <v>5.0160941159683732E-2</v>
      </c>
      <c r="D6">
        <f>VLOOKUP($A6,'Case-3'!$A$1:$AN$21,30,FALSE)</f>
        <v>2.6642322819954479E-2</v>
      </c>
      <c r="E6">
        <f>VLOOKUP($A6,'Case-4'!$A$1:$AN$21,30,FALSE)</f>
        <v>1.9630861667939741E-2</v>
      </c>
      <c r="F6">
        <f>VLOOKUP($A6,'Case-5'!$A$1:$AN$21,30,FALSE)</f>
        <v>1.219125339489455E-2</v>
      </c>
      <c r="G6">
        <f>VLOOKUP($A6,'Case-6'!$A$1:$AN$21,30,FALSE)</f>
        <v>7.8228567456401898E-3</v>
      </c>
    </row>
    <row r="7" spans="1:7">
      <c r="A7" s="3">
        <v>36</v>
      </c>
      <c r="B7">
        <f>VLOOKUP($A7,'Case-1'!$A$1:$AN$21,30,FALSE)</f>
        <v>4.6808444949508483E-2</v>
      </c>
      <c r="C7">
        <f>VLOOKUP($A7,'Case-2'!$A$1:$AN$21,30,FALSE)</f>
        <v>4.3493824616280367E-2</v>
      </c>
      <c r="D7">
        <f>VLOOKUP($A7,'Case-3'!$A$1:$AN$21,30,FALSE)</f>
        <v>2.2109764270476839E-2</v>
      </c>
      <c r="E7">
        <f>VLOOKUP($A7,'Case-4'!$A$1:$AN$21,30,FALSE)</f>
        <v>1.67460280876221E-2</v>
      </c>
      <c r="F7">
        <f>VLOOKUP($A7,'Case-5'!$A$1:$AN$21,30,FALSE)</f>
        <v>1.036787586247697E-2</v>
      </c>
      <c r="G7">
        <f>VLOOKUP($A7,'Case-6'!$A$1:$AN$21,30,FALSE)</f>
        <v>6.5109199145777872E-3</v>
      </c>
    </row>
    <row r="8" spans="1:7">
      <c r="A8" s="2">
        <v>42</v>
      </c>
      <c r="B8">
        <f>VLOOKUP($A8,'Case-1'!$A$1:$AN$21,30,FALSE)</f>
        <v>4.5994634373254517E-2</v>
      </c>
      <c r="C8">
        <f>VLOOKUP($A8,'Case-2'!$A$1:$AN$21,30,FALSE)</f>
        <v>3.6781786001803589E-2</v>
      </c>
      <c r="D8">
        <f>VLOOKUP($A8,'Case-3'!$A$1:$AN$21,30,FALSE)</f>
        <v>1.914724637599273E-2</v>
      </c>
      <c r="E8">
        <f>VLOOKUP($A8,'Case-4'!$A$1:$AN$21,30,FALSE)</f>
        <v>1.364472225062829E-2</v>
      </c>
      <c r="F8">
        <f>VLOOKUP($A8,'Case-5'!$A$1:$AN$21,30,FALSE)</f>
        <v>9.9089427173393984E-3</v>
      </c>
      <c r="G8">
        <f>VLOOKUP($A8,'Case-6'!$A$1:$AN$21,30,FALSE)</f>
        <v>6.8580896185225643E-3</v>
      </c>
    </row>
    <row r="9" spans="1:7">
      <c r="A9" s="3">
        <v>48</v>
      </c>
      <c r="B9">
        <f>VLOOKUP($A9,'Case-1'!$A$1:$AN$21,30,FALSE)</f>
        <v>4.6473039228536787E-2</v>
      </c>
      <c r="C9">
        <f>VLOOKUP($A9,'Case-2'!$A$1:$AN$21,30,FALSE)</f>
        <v>4.5373191286574813E-2</v>
      </c>
      <c r="D9">
        <f>VLOOKUP($A9,'Case-3'!$A$1:$AN$21,30,FALSE)</f>
        <v>2.3013343897072502E-2</v>
      </c>
      <c r="E9">
        <f>VLOOKUP($A9,'Case-4'!$A$1:$AN$21,30,FALSE)</f>
        <v>1.281872663940405E-2</v>
      </c>
      <c r="F9">
        <f>VLOOKUP($A9,'Case-5'!$A$1:$AN$21,30,FALSE)</f>
        <v>1.0326030623192459E-2</v>
      </c>
      <c r="G9">
        <f>VLOOKUP($A9,'Case-6'!$A$1:$AN$21,30,FALSE)</f>
        <v>6.6395423852338006E-3</v>
      </c>
    </row>
    <row r="10" spans="1:7">
      <c r="A10" s="2">
        <v>54</v>
      </c>
      <c r="B10">
        <f>VLOOKUP($A10,'Case-1'!$A$1:$AN$21,30,FALSE)</f>
        <v>4.6475433942822358E-2</v>
      </c>
      <c r="C10">
        <f>VLOOKUP($A10,'Case-2'!$A$1:$AN$21,30,FALSE)</f>
        <v>3.6753765021050787E-2</v>
      </c>
      <c r="D10">
        <f>VLOOKUP($A10,'Case-3'!$A$1:$AN$21,30,FALSE)</f>
        <v>2.020933428580686E-2</v>
      </c>
      <c r="E10">
        <f>VLOOKUP($A10,'Case-4'!$A$1:$AN$21,30,FALSE)</f>
        <v>1.129664107014795E-2</v>
      </c>
      <c r="F10">
        <f>VLOOKUP($A10,'Case-5'!$A$1:$AN$21,30,FALSE)</f>
        <v>8.014025025630955E-3</v>
      </c>
      <c r="G10">
        <f>VLOOKUP($A10,'Case-6'!$A$1:$AN$21,30,FALSE)</f>
        <v>5.1277357586475662E-3</v>
      </c>
    </row>
    <row r="11" spans="1:7">
      <c r="A11" s="3">
        <v>60</v>
      </c>
      <c r="B11">
        <f>VLOOKUP($A11,'Case-1'!$A$1:$AN$21,30,FALSE)</f>
        <v>4.3261666447269753E-2</v>
      </c>
      <c r="C11">
        <f>VLOOKUP($A11,'Case-2'!$A$1:$AN$21,30,FALSE)</f>
        <v>3.1144517344416828E-2</v>
      </c>
      <c r="D11">
        <f>VLOOKUP($A11,'Case-3'!$A$1:$AN$21,30,FALSE)</f>
        <v>2.013855052642019E-2</v>
      </c>
      <c r="E11">
        <f>VLOOKUP($A11,'Case-4'!$A$1:$AN$21,30,FALSE)</f>
        <v>1.114147468887261E-2</v>
      </c>
      <c r="F11">
        <f>VLOOKUP($A11,'Case-5'!$A$1:$AN$21,30,FALSE)</f>
        <v>7.9470453582197263E-3</v>
      </c>
      <c r="G11">
        <f>VLOOKUP($A11,'Case-6'!$A$1:$AN$21,30,FALSE)</f>
        <v>5.282082952121357E-3</v>
      </c>
    </row>
    <row r="12" spans="1:7">
      <c r="A12" s="2">
        <v>66</v>
      </c>
      <c r="B12">
        <f>VLOOKUP($A12,'Case-1'!$A$1:$AN$21,30,FALSE)</f>
        <v>4.0284540388679242E-2</v>
      </c>
      <c r="C12">
        <f>VLOOKUP($A12,'Case-2'!$A$1:$AN$21,30,FALSE)</f>
        <v>3.2709192564264633E-2</v>
      </c>
      <c r="D12">
        <f>VLOOKUP($A12,'Case-3'!$A$1:$AN$21,30,FALSE)</f>
        <v>1.8368305704535921E-2</v>
      </c>
      <c r="E12">
        <f>VLOOKUP($A12,'Case-4'!$A$1:$AN$21,30,FALSE)</f>
        <v>1.1168758291866931E-2</v>
      </c>
      <c r="F12">
        <f>VLOOKUP($A12,'Case-5'!$A$1:$AN$21,30,FALSE)</f>
        <v>8.1114255058889195E-3</v>
      </c>
      <c r="G12">
        <f>VLOOKUP($A12,'Case-6'!$A$1:$AN$21,30,FALSE)</f>
        <v>5.361111986782221E-3</v>
      </c>
    </row>
    <row r="13" spans="1:7">
      <c r="A13" s="3">
        <v>72</v>
      </c>
      <c r="B13">
        <f>VLOOKUP($A13,'Case-1'!$A$1:$AN$21,30,FALSE)</f>
        <v>3.8373655247866803E-2</v>
      </c>
      <c r="C13">
        <f>VLOOKUP($A13,'Case-2'!$A$1:$AN$21,30,FALSE)</f>
        <v>3.79973969734081E-2</v>
      </c>
      <c r="D13">
        <f>VLOOKUP($A13,'Case-3'!$A$1:$AN$21,30,FALSE)</f>
        <v>1.9963844077319701E-2</v>
      </c>
      <c r="E13">
        <f>VLOOKUP($A13,'Case-4'!$A$1:$AN$21,30,FALSE)</f>
        <v>1.130625875303639E-2</v>
      </c>
      <c r="F13">
        <f>VLOOKUP($A13,'Case-5'!$A$1:$AN$21,30,FALSE)</f>
        <v>6.9770331056077384E-3</v>
      </c>
      <c r="G13">
        <f>VLOOKUP($A13,'Case-6'!$A$1:$AN$21,30,FALSE)</f>
        <v>4.9776998743700776E-3</v>
      </c>
    </row>
    <row r="14" spans="1:7">
      <c r="A14" s="2">
        <v>78</v>
      </c>
      <c r="B14">
        <f>VLOOKUP($A14,'Case-1'!$A$1:$AN$21,30,FALSE)</f>
        <v>3.7008144890440083E-2</v>
      </c>
      <c r="C14">
        <f>VLOOKUP($A14,'Case-2'!$A$1:$AN$21,30,FALSE)</f>
        <v>3.3596262272958602E-2</v>
      </c>
      <c r="D14">
        <f>VLOOKUP($A14,'Case-3'!$A$1:$AN$21,30,FALSE)</f>
        <v>1.7002302093124901E-2</v>
      </c>
      <c r="E14">
        <f>VLOOKUP($A14,'Case-4'!$A$1:$AN$21,30,FALSE)</f>
        <v>9.4698168615434085E-3</v>
      </c>
      <c r="F14">
        <f>VLOOKUP($A14,'Case-5'!$A$1:$AN$21,30,FALSE)</f>
        <v>7.9307754284970201E-3</v>
      </c>
      <c r="G14">
        <f>VLOOKUP($A14,'Case-6'!$A$1:$AN$21,30,FALSE)</f>
        <v>5.6860374334763084E-3</v>
      </c>
    </row>
    <row r="15" spans="1:7">
      <c r="A15" s="3">
        <v>84</v>
      </c>
      <c r="B15">
        <f>VLOOKUP($A15,'Case-1'!$A$1:$AN$21,30,FALSE)</f>
        <v>3.5148407381362809E-2</v>
      </c>
      <c r="C15">
        <f>VLOOKUP($A15,'Case-2'!$A$1:$AN$21,30,FALSE)</f>
        <v>3.1902684789037523E-2</v>
      </c>
      <c r="D15">
        <f>VLOOKUP($A15,'Case-3'!$A$1:$AN$21,30,FALSE)</f>
        <v>1.9060636785859189E-2</v>
      </c>
      <c r="E15">
        <f>VLOOKUP($A15,'Case-4'!$A$1:$AN$21,30,FALSE)</f>
        <v>1.295240580472118E-2</v>
      </c>
      <c r="F15">
        <f>VLOOKUP($A15,'Case-5'!$A$1:$AN$21,30,FALSE)</f>
        <v>6.7312933691703741E-3</v>
      </c>
      <c r="G15">
        <f>VLOOKUP($A15,'Case-6'!$A$1:$AN$21,30,FALSE)</f>
        <v>4.1206781529917053E-3</v>
      </c>
    </row>
    <row r="16" spans="1:7">
      <c r="A16" s="2">
        <v>90</v>
      </c>
      <c r="B16">
        <f>VLOOKUP($A16,'Case-1'!$A$1:$AN$21,30,FALSE)</f>
        <v>3.8411841088774212E-2</v>
      </c>
      <c r="C16">
        <f>VLOOKUP($A16,'Case-2'!$A$1:$AN$21,30,FALSE)</f>
        <v>3.1742608494509383E-2</v>
      </c>
      <c r="D16">
        <f>VLOOKUP($A16,'Case-3'!$A$1:$AN$21,30,FALSE)</f>
        <v>1.8368353476189671E-2</v>
      </c>
      <c r="E16">
        <f>VLOOKUP($A16,'Case-4'!$A$1:$AN$21,30,FALSE)</f>
        <v>1.2309498152624389E-2</v>
      </c>
      <c r="F16">
        <f>VLOOKUP($A16,'Case-5'!$A$1:$AN$21,30,FALSE)</f>
        <v>6.6204771142252504E-3</v>
      </c>
      <c r="G16">
        <f>VLOOKUP($A16,'Case-6'!$A$1:$AN$21,30,FALSE)</f>
        <v>4.9326851300769614E-3</v>
      </c>
    </row>
    <row r="17" spans="1:7">
      <c r="A17" s="3">
        <v>96</v>
      </c>
      <c r="B17">
        <f>VLOOKUP($A17,'Case-1'!$A$1:$AN$21,30,FALSE)</f>
        <v>3.4069165605015217E-2</v>
      </c>
      <c r="C17">
        <f>VLOOKUP($A17,'Case-2'!$A$1:$AN$21,30,FALSE)</f>
        <v>3.6127716825433559E-2</v>
      </c>
      <c r="D17">
        <f>VLOOKUP($A17,'Case-3'!$A$1:$AN$21,30,FALSE)</f>
        <v>1.633487809355998E-2</v>
      </c>
      <c r="E17">
        <f>VLOOKUP($A17,'Case-4'!$A$1:$AN$21,30,FALSE)</f>
        <v>9.1904186097669545E-3</v>
      </c>
      <c r="F17">
        <f>VLOOKUP($A17,'Case-5'!$A$1:$AN$21,30,FALSE)</f>
        <v>6.7962296763800873E-3</v>
      </c>
      <c r="G17">
        <f>VLOOKUP($A17,'Case-6'!$A$1:$AN$21,30,FALSE)</f>
        <v>4.4650961637247031E-3</v>
      </c>
    </row>
    <row r="18" spans="1:7">
      <c r="A18" s="2">
        <v>102</v>
      </c>
      <c r="B18">
        <f>VLOOKUP($A18,'Case-1'!$A$1:$AN$21,30,FALSE)</f>
        <v>3.5461300973094058E-2</v>
      </c>
      <c r="C18">
        <f>VLOOKUP($A18,'Case-2'!$A$1:$AN$21,30,FALSE)</f>
        <v>3.2449235104579137E-2</v>
      </c>
      <c r="D18">
        <f>VLOOKUP($A18,'Case-3'!$A$1:$AN$21,30,FALSE)</f>
        <v>1.4847493060385211E-2</v>
      </c>
      <c r="E18">
        <f>VLOOKUP($A18,'Case-4'!$A$1:$AN$21,30,FALSE)</f>
        <v>7.1466542797533252E-3</v>
      </c>
      <c r="F18">
        <f>VLOOKUP($A18,'Case-5'!$A$1:$AN$21,30,FALSE)</f>
        <v>5.8354771856010366E-3</v>
      </c>
      <c r="G18">
        <f>VLOOKUP($A18,'Case-6'!$A$1:$AN$21,30,FALSE)</f>
        <v>6.0589822953671284E-3</v>
      </c>
    </row>
    <row r="19" spans="1:7">
      <c r="A19" s="3">
        <v>108</v>
      </c>
      <c r="B19">
        <f>VLOOKUP($A19,'Case-1'!$A$1:$AN$21,30,FALSE)</f>
        <v>3.4964671145436409E-2</v>
      </c>
      <c r="C19">
        <f>VLOOKUP($A19,'Case-2'!$A$1:$AN$21,30,FALSE)</f>
        <v>3.3372698294506217E-2</v>
      </c>
      <c r="D19">
        <f>VLOOKUP($A19,'Case-3'!$A$1:$AN$21,30,FALSE)</f>
        <v>1.4826028485017351E-2</v>
      </c>
      <c r="E19">
        <f>VLOOKUP($A19,'Case-4'!$A$1:$AN$21,30,FALSE)</f>
        <v>9.5330010957830023E-3</v>
      </c>
      <c r="F19">
        <f>VLOOKUP($A19,'Case-5'!$A$1:$AN$21,30,FALSE)</f>
        <v>6.1142901275861028E-3</v>
      </c>
      <c r="G19">
        <f>VLOOKUP($A19,'Case-6'!$A$1:$AN$21,30,FALSE)</f>
        <v>3.6547268939016099E-3</v>
      </c>
    </row>
    <row r="20" spans="1:7">
      <c r="A20" s="2">
        <v>114</v>
      </c>
      <c r="B20">
        <f>VLOOKUP($A20,'Case-1'!$A$1:$AN$21,30,FALSE)</f>
        <v>3.2888066448370758E-2</v>
      </c>
      <c r="C20">
        <f>VLOOKUP($A20,'Case-2'!$A$1:$AN$21,30,FALSE)</f>
        <v>3.7162696748147143E-2</v>
      </c>
      <c r="D20">
        <f>VLOOKUP($A20,'Case-3'!$A$1:$AN$21,30,FALSE)</f>
        <v>1.4716486079810871E-2</v>
      </c>
      <c r="E20">
        <f>VLOOKUP($A20,'Case-4'!$A$1:$AN$21,30,FALSE)</f>
        <v>9.3964033119019984E-3</v>
      </c>
      <c r="F20">
        <f>VLOOKUP($A20,'Case-5'!$A$1:$AN$21,30,FALSE)</f>
        <v>4.9718852705051926E-3</v>
      </c>
      <c r="G20">
        <f>VLOOKUP($A20,'Case-6'!$A$1:$AN$21,30,FALSE)</f>
        <v>4.7942696839872786E-3</v>
      </c>
    </row>
    <row r="21" spans="1:7">
      <c r="A21" s="3">
        <v>120</v>
      </c>
      <c r="B21">
        <f>VLOOKUP($A21,'Case-1'!$A$1:$AN$21,30,FALSE)</f>
        <v>3.4813204466301047E-2</v>
      </c>
      <c r="C21">
        <f>VLOOKUP($A21,'Case-2'!$A$1:$AN$21,30,FALSE)</f>
        <v>3.6311342953993783E-2</v>
      </c>
      <c r="D21">
        <f>VLOOKUP($A21,'Case-3'!$A$1:$AN$21,30,FALSE)</f>
        <v>1.557487988963023E-2</v>
      </c>
      <c r="E21">
        <f>VLOOKUP($A21,'Case-4'!$A$1:$AN$21,30,FALSE)</f>
        <v>1.0895360518096441E-2</v>
      </c>
      <c r="F21">
        <f>VLOOKUP($A21,'Case-5'!$A$1:$AN$21,30,FALSE)</f>
        <v>6.7680547496241162E-3</v>
      </c>
      <c r="G21">
        <f>VLOOKUP($A21,'Case-6'!$A$1:$AN$21,30,FALSE)</f>
        <v>4.2608987987349453E-3</v>
      </c>
    </row>
    <row r="22" spans="1:7">
      <c r="B22">
        <f>AVERAGE(B2:B21)</f>
        <v>4.9383777614573479E-2</v>
      </c>
      <c r="C22">
        <f t="shared" ref="C22:G22" si="0">AVERAGE(C2:C21)</f>
        <v>4.5848645252782219E-2</v>
      </c>
      <c r="D22">
        <f t="shared" si="0"/>
        <v>2.5769865907219053E-2</v>
      </c>
      <c r="E22">
        <f t="shared" si="0"/>
        <v>1.5123695039892962E-2</v>
      </c>
      <c r="F22">
        <f t="shared" si="0"/>
        <v>1.3725737646756378E-2</v>
      </c>
      <c r="G22">
        <f t="shared" si="0"/>
        <v>6.2703555335551775E-3</v>
      </c>
    </row>
  </sheetData>
  <phoneticPr fontId="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A989-5F84-4263-91F4-0DDFA16F48D4}">
  <dimension ref="A1:G21"/>
  <sheetViews>
    <sheetView workbookViewId="0">
      <selection activeCell="B1" sqref="B1:G1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VLOOKUP($A2,'Case-1'!$A$1:$AN$21,31,FALSE)</f>
        <v>7.1707699675803135E-2</v>
      </c>
      <c r="C2">
        <f>VLOOKUP($A2,'Case-2'!$A$1:$AN$21,31,FALSE)</f>
        <v>6.9653469274977897E-2</v>
      </c>
      <c r="D2">
        <f>VLOOKUP($A2,'Case-3'!$A$1:$AN$21,31,FALSE)</f>
        <v>0.17993495597553791</v>
      </c>
      <c r="E2">
        <f>VLOOKUP($A2,'Case-4'!$A$1:$AN$21,31,FALSE)</f>
        <v>0.24891655518394651</v>
      </c>
      <c r="F2">
        <f>VLOOKUP($A2,'Case-5'!$A$1:$AN$21,31,FALSE)</f>
        <v>0.15239262804495191</v>
      </c>
      <c r="G2">
        <f>VLOOKUP($A2,'Case-6'!$A$1:$AN$21,31,FALSE)</f>
        <v>0.5</v>
      </c>
    </row>
    <row r="3" spans="1:7">
      <c r="A3" s="3">
        <v>12</v>
      </c>
      <c r="B3">
        <f>VLOOKUP($A3,'Case-1'!$A$1:$AN$21,31,FALSE)</f>
        <v>7.2408030662038117E-2</v>
      </c>
      <c r="C3">
        <f>VLOOKUP($A3,'Case-2'!$A$1:$AN$21,31,FALSE)</f>
        <v>7.9703504571554923E-2</v>
      </c>
      <c r="D3">
        <f>VLOOKUP($A3,'Case-3'!$A$1:$AN$21,31,FALSE)</f>
        <v>0.15163753225400919</v>
      </c>
      <c r="E3">
        <f>VLOOKUP($A3,'Case-4'!$A$1:$AN$21,31,FALSE)</f>
        <v>0.233732878643096</v>
      </c>
      <c r="F3">
        <f>VLOOKUP($A3,'Case-5'!$A$1:$AN$21,31,FALSE)</f>
        <v>0.36050525783619819</v>
      </c>
      <c r="G3">
        <f>VLOOKUP($A3,'Case-6'!$A$1:$AN$21,31,FALSE)</f>
        <v>0.5</v>
      </c>
    </row>
    <row r="4" spans="1:7">
      <c r="A4" s="2">
        <v>18</v>
      </c>
      <c r="B4">
        <f>VLOOKUP($A4,'Case-1'!$A$1:$AN$21,31,FALSE)</f>
        <v>7.2198366290944532E-2</v>
      </c>
      <c r="C4">
        <f>VLOOKUP($A4,'Case-2'!$A$1:$AN$21,31,FALSE)</f>
        <v>8.9272545990728161E-2</v>
      </c>
      <c r="D4">
        <f>VLOOKUP($A4,'Case-3'!$A$1:$AN$21,31,FALSE)</f>
        <v>0.1719796394411654</v>
      </c>
      <c r="E4">
        <f>VLOOKUP($A4,'Case-4'!$A$1:$AN$21,31,FALSE)</f>
        <v>0.23718845633012889</v>
      </c>
      <c r="F4">
        <f>VLOOKUP($A4,'Case-5'!$A$1:$AN$21,31,FALSE)</f>
        <v>0.31949672266139661</v>
      </c>
      <c r="G4">
        <f>VLOOKUP($A4,'Case-6'!$A$1:$AN$21,31,FALSE)</f>
        <v>0.42994711399711399</v>
      </c>
    </row>
    <row r="5" spans="1:7">
      <c r="A5" s="3">
        <v>24</v>
      </c>
      <c r="B5">
        <f>VLOOKUP($A5,'Case-1'!$A$1:$AN$21,31,FALSE)</f>
        <v>7.4265314723027942E-2</v>
      </c>
      <c r="C5">
        <f>VLOOKUP($A5,'Case-2'!$A$1:$AN$21,31,FALSE)</f>
        <v>9.2099024092302334E-2</v>
      </c>
      <c r="D5">
        <f>VLOOKUP($A5,'Case-3'!$A$1:$AN$21,31,FALSE)</f>
        <v>0.16517317747051061</v>
      </c>
      <c r="E5">
        <f>VLOOKUP($A5,'Case-4'!$A$1:$AN$21,31,FALSE)</f>
        <v>0.24242721961775951</v>
      </c>
      <c r="F5">
        <f>VLOOKUP($A5,'Case-5'!$A$1:$AN$21,31,FALSE)</f>
        <v>0.3251912668421903</v>
      </c>
      <c r="G5">
        <f>VLOOKUP($A5,'Case-6'!$A$1:$AN$21,31,FALSE)</f>
        <v>0.45396186606892691</v>
      </c>
    </row>
    <row r="6" spans="1:7">
      <c r="A6" s="2">
        <v>30</v>
      </c>
      <c r="B6">
        <f>VLOOKUP($A6,'Case-1'!$A$1:$AN$21,31,FALSE)</f>
        <v>7.3052523558180066E-2</v>
      </c>
      <c r="C6">
        <f>VLOOKUP($A6,'Case-2'!$A$1:$AN$21,31,FALSE)</f>
        <v>9.1925487503600731E-2</v>
      </c>
      <c r="D6">
        <f>VLOOKUP($A6,'Case-3'!$A$1:$AN$21,31,FALSE)</f>
        <v>0.1663849179274739</v>
      </c>
      <c r="E6">
        <f>VLOOKUP($A6,'Case-4'!$A$1:$AN$21,31,FALSE)</f>
        <v>0.24146699131137769</v>
      </c>
      <c r="F6">
        <f>VLOOKUP($A6,'Case-5'!$A$1:$AN$21,31,FALSE)</f>
        <v>0.31857198833052253</v>
      </c>
      <c r="G6">
        <f>VLOOKUP($A6,'Case-6'!$A$1:$AN$21,31,FALSE)</f>
        <v>0.41511098122108642</v>
      </c>
    </row>
    <row r="7" spans="1:7">
      <c r="A7" s="3">
        <v>36</v>
      </c>
      <c r="B7">
        <f>VLOOKUP($A7,'Case-1'!$A$1:$AN$21,31,FALSE)</f>
        <v>7.5356264557042599E-2</v>
      </c>
      <c r="C7">
        <f>VLOOKUP($A7,'Case-2'!$A$1:$AN$21,31,FALSE)</f>
        <v>9.4297203270521754E-2</v>
      </c>
      <c r="D7">
        <f>VLOOKUP($A7,'Case-3'!$A$1:$AN$21,31,FALSE)</f>
        <v>0.1672895367939097</v>
      </c>
      <c r="E7">
        <f>VLOOKUP($A7,'Case-4'!$A$1:$AN$21,31,FALSE)</f>
        <v>0.23912048725035959</v>
      </c>
      <c r="F7">
        <f>VLOOKUP($A7,'Case-5'!$A$1:$AN$21,31,FALSE)</f>
        <v>0.3237335820537372</v>
      </c>
      <c r="G7">
        <f>VLOOKUP($A7,'Case-6'!$A$1:$AN$21,31,FALSE)</f>
        <v>0.42840284663341949</v>
      </c>
    </row>
    <row r="8" spans="1:7">
      <c r="A8" s="2">
        <v>42</v>
      </c>
      <c r="B8">
        <f>VLOOKUP($A8,'Case-1'!$A$1:$AN$21,31,FALSE)</f>
        <v>7.571419291996187E-2</v>
      </c>
      <c r="C8">
        <f>VLOOKUP($A8,'Case-2'!$A$1:$AN$21,31,FALSE)</f>
        <v>9.6353527989788024E-2</v>
      </c>
      <c r="D8">
        <f>VLOOKUP($A8,'Case-3'!$A$1:$AN$21,31,FALSE)</f>
        <v>0.16537945813953819</v>
      </c>
      <c r="E8">
        <f>VLOOKUP($A8,'Case-4'!$A$1:$AN$21,31,FALSE)</f>
        <v>0.23820980222458629</v>
      </c>
      <c r="F8">
        <f>VLOOKUP($A8,'Case-5'!$A$1:$AN$21,31,FALSE)</f>
        <v>0.32411945074847542</v>
      </c>
      <c r="G8">
        <f>VLOOKUP($A8,'Case-6'!$A$1:$AN$21,31,FALSE)</f>
        <v>0.43442408859413778</v>
      </c>
    </row>
    <row r="9" spans="1:7">
      <c r="A9" s="3">
        <v>48</v>
      </c>
      <c r="B9">
        <f>VLOOKUP($A9,'Case-1'!$A$1:$AN$21,31,FALSE)</f>
        <v>7.3880828782333222E-2</v>
      </c>
      <c r="C9">
        <f>VLOOKUP($A9,'Case-2'!$A$1:$AN$21,31,FALSE)</f>
        <v>9.4881957660594707E-2</v>
      </c>
      <c r="D9">
        <f>VLOOKUP($A9,'Case-3'!$A$1:$AN$21,31,FALSE)</f>
        <v>0.16472360814409129</v>
      </c>
      <c r="E9">
        <f>VLOOKUP($A9,'Case-4'!$A$1:$AN$21,31,FALSE)</f>
        <v>0.23691942102687349</v>
      </c>
      <c r="F9">
        <f>VLOOKUP($A9,'Case-5'!$A$1:$AN$21,31,FALSE)</f>
        <v>0.32507432796904112</v>
      </c>
      <c r="G9">
        <f>VLOOKUP($A9,'Case-6'!$A$1:$AN$21,31,FALSE)</f>
        <v>0.41209546948851</v>
      </c>
    </row>
    <row r="10" spans="1:7">
      <c r="A10" s="2">
        <v>54</v>
      </c>
      <c r="B10">
        <f>VLOOKUP($A10,'Case-1'!$A$1:$AN$21,31,FALSE)</f>
        <v>7.4782487178050389E-2</v>
      </c>
      <c r="C10">
        <f>VLOOKUP($A10,'Case-2'!$A$1:$AN$21,31,FALSE)</f>
        <v>9.3241259157143749E-2</v>
      </c>
      <c r="D10">
        <f>VLOOKUP($A10,'Case-3'!$A$1:$AN$21,31,FALSE)</f>
        <v>0.1650826524955358</v>
      </c>
      <c r="E10">
        <f>VLOOKUP($A10,'Case-4'!$A$1:$AN$21,31,FALSE)</f>
        <v>0.23696137260927061</v>
      </c>
      <c r="F10">
        <f>VLOOKUP($A10,'Case-5'!$A$1:$AN$21,31,FALSE)</f>
        <v>0.32277425527331383</v>
      </c>
      <c r="G10">
        <f>VLOOKUP($A10,'Case-6'!$A$1:$AN$21,31,FALSE)</f>
        <v>0.42587021407750048</v>
      </c>
    </row>
    <row r="11" spans="1:7">
      <c r="A11" s="3">
        <v>60</v>
      </c>
      <c r="B11">
        <f>VLOOKUP($A11,'Case-1'!$A$1:$AN$21,31,FALSE)</f>
        <v>7.4710839389067238E-2</v>
      </c>
      <c r="C11">
        <f>VLOOKUP($A11,'Case-2'!$A$1:$AN$21,31,FALSE)</f>
        <v>9.9642622451357271E-2</v>
      </c>
      <c r="D11">
        <f>VLOOKUP($A11,'Case-3'!$A$1:$AN$21,31,FALSE)</f>
        <v>0.1640175039313865</v>
      </c>
      <c r="E11">
        <f>VLOOKUP($A11,'Case-4'!$A$1:$AN$21,31,FALSE)</f>
        <v>0.24125914306410609</v>
      </c>
      <c r="F11">
        <f>VLOOKUP($A11,'Case-5'!$A$1:$AN$21,31,FALSE)</f>
        <v>0.32643014316836161</v>
      </c>
      <c r="G11">
        <f>VLOOKUP($A11,'Case-6'!$A$1:$AN$21,31,FALSE)</f>
        <v>0.40914427349908161</v>
      </c>
    </row>
    <row r="12" spans="1:7">
      <c r="A12" s="2">
        <v>66</v>
      </c>
      <c r="B12">
        <f>VLOOKUP($A12,'Case-1'!$A$1:$AN$21,31,FALSE)</f>
        <v>7.5780831449363595E-2</v>
      </c>
      <c r="C12">
        <f>VLOOKUP($A12,'Case-2'!$A$1:$AN$21,31,FALSE)</f>
        <v>9.6170707651567447E-2</v>
      </c>
      <c r="D12">
        <f>VLOOKUP($A12,'Case-3'!$A$1:$AN$21,31,FALSE)</f>
        <v>0.16521920757932429</v>
      </c>
      <c r="E12">
        <f>VLOOKUP($A12,'Case-4'!$A$1:$AN$21,31,FALSE)</f>
        <v>0.23655044718502061</v>
      </c>
      <c r="F12">
        <f>VLOOKUP($A12,'Case-5'!$A$1:$AN$21,31,FALSE)</f>
        <v>0.31606358795001149</v>
      </c>
      <c r="G12">
        <f>VLOOKUP($A12,'Case-6'!$A$1:$AN$21,31,FALSE)</f>
        <v>0.41738873863200848</v>
      </c>
    </row>
    <row r="13" spans="1:7">
      <c r="A13" s="3">
        <v>72</v>
      </c>
      <c r="B13">
        <f>VLOOKUP($A13,'Case-1'!$A$1:$AN$21,31,FALSE)</f>
        <v>7.6464461553528554E-2</v>
      </c>
      <c r="C13">
        <f>VLOOKUP($A13,'Case-2'!$A$1:$AN$21,31,FALSE)</f>
        <v>9.6637839115276486E-2</v>
      </c>
      <c r="D13">
        <f>VLOOKUP($A13,'Case-3'!$A$1:$AN$21,31,FALSE)</f>
        <v>0.16506568081018419</v>
      </c>
      <c r="E13">
        <f>VLOOKUP($A13,'Case-4'!$A$1:$AN$21,31,FALSE)</f>
        <v>0.2388088735904963</v>
      </c>
      <c r="F13">
        <f>VLOOKUP($A13,'Case-5'!$A$1:$AN$21,31,FALSE)</f>
        <v>0.32126663228386931</v>
      </c>
      <c r="G13">
        <f>VLOOKUP($A13,'Case-6'!$A$1:$AN$21,31,FALSE)</f>
        <v>0.41381558207258951</v>
      </c>
    </row>
    <row r="14" spans="1:7">
      <c r="A14" s="2">
        <v>78</v>
      </c>
      <c r="B14">
        <f>VLOOKUP($A14,'Case-1'!$A$1:$AN$21,31,FALSE)</f>
        <v>7.6680816000154167E-2</v>
      </c>
      <c r="C14">
        <f>VLOOKUP($A14,'Case-2'!$A$1:$AN$21,31,FALSE)</f>
        <v>9.3864822050445579E-2</v>
      </c>
      <c r="D14">
        <f>VLOOKUP($A14,'Case-3'!$A$1:$AN$21,31,FALSE)</f>
        <v>0.16667714731180541</v>
      </c>
      <c r="E14">
        <f>VLOOKUP($A14,'Case-4'!$A$1:$AN$21,31,FALSE)</f>
        <v>0.24142015885030271</v>
      </c>
      <c r="F14">
        <f>VLOOKUP($A14,'Case-5'!$A$1:$AN$21,31,FALSE)</f>
        <v>0.3192702800907456</v>
      </c>
      <c r="G14">
        <f>VLOOKUP($A14,'Case-6'!$A$1:$AN$21,31,FALSE)</f>
        <v>0.40479010624294498</v>
      </c>
    </row>
    <row r="15" spans="1:7">
      <c r="A15" s="3">
        <v>84</v>
      </c>
      <c r="B15">
        <f>VLOOKUP($A15,'Case-1'!$A$1:$AN$21,31,FALSE)</f>
        <v>7.4468435903245089E-2</v>
      </c>
      <c r="C15">
        <f>VLOOKUP($A15,'Case-2'!$A$1:$AN$21,31,FALSE)</f>
        <v>9.9359031427683014E-2</v>
      </c>
      <c r="D15">
        <f>VLOOKUP($A15,'Case-3'!$A$1:$AN$21,31,FALSE)</f>
        <v>0.16069738181542881</v>
      </c>
      <c r="E15">
        <f>VLOOKUP($A15,'Case-4'!$A$1:$AN$21,31,FALSE)</f>
        <v>0.2344475946241962</v>
      </c>
      <c r="F15">
        <f>VLOOKUP($A15,'Case-5'!$A$1:$AN$21,31,FALSE)</f>
        <v>0.32055277717261699</v>
      </c>
      <c r="G15">
        <f>VLOOKUP($A15,'Case-6'!$A$1:$AN$21,31,FALSE)</f>
        <v>0.4191023665948595</v>
      </c>
    </row>
    <row r="16" spans="1:7">
      <c r="A16" s="2">
        <v>90</v>
      </c>
      <c r="B16">
        <f>VLOOKUP($A16,'Case-1'!$A$1:$AN$21,31,FALSE)</f>
        <v>7.5709806116226464E-2</v>
      </c>
      <c r="C16">
        <f>VLOOKUP($A16,'Case-2'!$A$1:$AN$21,31,FALSE)</f>
        <v>9.5558769640687088E-2</v>
      </c>
      <c r="D16">
        <f>VLOOKUP($A16,'Case-3'!$A$1:$AN$21,31,FALSE)</f>
        <v>0.16014431414196961</v>
      </c>
      <c r="E16">
        <f>VLOOKUP($A16,'Case-4'!$A$1:$AN$21,31,FALSE)</f>
        <v>0.2321709450556958</v>
      </c>
      <c r="F16">
        <f>VLOOKUP($A16,'Case-5'!$A$1:$AN$21,31,FALSE)</f>
        <v>0.32141831073530869</v>
      </c>
      <c r="G16">
        <f>VLOOKUP($A16,'Case-6'!$A$1:$AN$21,31,FALSE)</f>
        <v>0.40805604664450751</v>
      </c>
    </row>
    <row r="17" spans="1:7">
      <c r="A17" s="3">
        <v>96</v>
      </c>
      <c r="B17">
        <f>VLOOKUP($A17,'Case-1'!$A$1:$AN$21,31,FALSE)</f>
        <v>7.5017245960834839E-2</v>
      </c>
      <c r="C17">
        <f>VLOOKUP($A17,'Case-2'!$A$1:$AN$21,31,FALSE)</f>
        <v>9.5538146980726282E-2</v>
      </c>
      <c r="D17">
        <f>VLOOKUP($A17,'Case-3'!$A$1:$AN$21,31,FALSE)</f>
        <v>0.1629627940444934</v>
      </c>
      <c r="E17">
        <f>VLOOKUP($A17,'Case-4'!$A$1:$AN$21,31,FALSE)</f>
        <v>0.24456614747825209</v>
      </c>
      <c r="F17">
        <f>VLOOKUP($A17,'Case-5'!$A$1:$AN$21,31,FALSE)</f>
        <v>0.32341653324811798</v>
      </c>
      <c r="G17">
        <f>VLOOKUP($A17,'Case-6'!$A$1:$AN$21,31,FALSE)</f>
        <v>0.41409432798857659</v>
      </c>
    </row>
    <row r="18" spans="1:7">
      <c r="A18" s="2">
        <v>102</v>
      </c>
      <c r="B18">
        <f>VLOOKUP($A18,'Case-1'!$A$1:$AN$21,31,FALSE)</f>
        <v>7.5259873857322426E-2</v>
      </c>
      <c r="C18">
        <f>VLOOKUP($A18,'Case-2'!$A$1:$AN$21,31,FALSE)</f>
        <v>9.6729412356705069E-2</v>
      </c>
      <c r="D18">
        <f>VLOOKUP($A18,'Case-3'!$A$1:$AN$21,31,FALSE)</f>
        <v>0.16775092576529779</v>
      </c>
      <c r="E18">
        <f>VLOOKUP($A18,'Case-4'!$A$1:$AN$21,31,FALSE)</f>
        <v>0.23065617131217031</v>
      </c>
      <c r="F18">
        <f>VLOOKUP($A18,'Case-5'!$A$1:$AN$21,31,FALSE)</f>
        <v>0.31559503597244032</v>
      </c>
      <c r="G18">
        <f>VLOOKUP($A18,'Case-6'!$A$1:$AN$21,31,FALSE)</f>
        <v>0.41508934789369611</v>
      </c>
    </row>
    <row r="19" spans="1:7">
      <c r="A19" s="3">
        <v>108</v>
      </c>
      <c r="B19">
        <f>VLOOKUP($A19,'Case-1'!$A$1:$AN$21,31,FALSE)</f>
        <v>7.6869917673441243E-2</v>
      </c>
      <c r="C19">
        <f>VLOOKUP($A19,'Case-2'!$A$1:$AN$21,31,FALSE)</f>
        <v>9.7315996106264721E-2</v>
      </c>
      <c r="D19">
        <f>VLOOKUP($A19,'Case-3'!$A$1:$AN$21,31,FALSE)</f>
        <v>0.1619580948807183</v>
      </c>
      <c r="E19">
        <f>VLOOKUP($A19,'Case-4'!$A$1:$AN$21,31,FALSE)</f>
        <v>0.2329376060623761</v>
      </c>
      <c r="F19">
        <f>VLOOKUP($A19,'Case-5'!$A$1:$AN$21,31,FALSE)</f>
        <v>0.33414056225049582</v>
      </c>
      <c r="G19">
        <f>VLOOKUP($A19,'Case-6'!$A$1:$AN$21,31,FALSE)</f>
        <v>0.40398307370148812</v>
      </c>
    </row>
    <row r="20" spans="1:7">
      <c r="A20" s="2">
        <v>114</v>
      </c>
      <c r="B20">
        <f>VLOOKUP($A20,'Case-1'!$A$1:$AN$21,31,FALSE)</f>
        <v>7.570618882393583E-2</v>
      </c>
      <c r="C20">
        <f>VLOOKUP($A20,'Case-2'!$A$1:$AN$21,31,FALSE)</f>
        <v>9.5323611142621736E-2</v>
      </c>
      <c r="D20">
        <f>VLOOKUP($A20,'Case-3'!$A$1:$AN$21,31,FALSE)</f>
        <v>0.1686025333334954</v>
      </c>
      <c r="E20">
        <f>VLOOKUP($A20,'Case-4'!$A$1:$AN$21,31,FALSE)</f>
        <v>0.23493168670125819</v>
      </c>
      <c r="F20">
        <f>VLOOKUP($A20,'Case-5'!$A$1:$AN$21,31,FALSE)</f>
        <v>0.31500505951717522</v>
      </c>
      <c r="G20">
        <f>VLOOKUP($A20,'Case-6'!$A$1:$AN$21,31,FALSE)</f>
        <v>0.40405497969412718</v>
      </c>
    </row>
    <row r="21" spans="1:7">
      <c r="A21" s="3">
        <v>120</v>
      </c>
      <c r="B21">
        <f>VLOOKUP($A21,'Case-1'!$A$1:$AN$21,31,FALSE)</f>
        <v>7.546774189191037E-2</v>
      </c>
      <c r="C21">
        <f>VLOOKUP($A21,'Case-2'!$A$1:$AN$21,31,FALSE)</f>
        <v>0.1022173463454758</v>
      </c>
      <c r="D21">
        <f>VLOOKUP($A21,'Case-3'!$A$1:$AN$21,31,FALSE)</f>
        <v>0.1623481337983852</v>
      </c>
      <c r="E21">
        <f>VLOOKUP($A21,'Case-4'!$A$1:$AN$21,31,FALSE)</f>
        <v>0.23809361417027841</v>
      </c>
      <c r="F21">
        <f>VLOOKUP($A21,'Case-5'!$A$1:$AN$21,31,FALSE)</f>
        <v>0.32246700264489692</v>
      </c>
      <c r="G21">
        <f>VLOOKUP($A21,'Case-6'!$A$1:$AN$21,31,FALSE)</f>
        <v>0.40413827177900702</v>
      </c>
    </row>
  </sheetData>
  <phoneticPr fontId="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67A6-D57A-4634-A25C-7D56668D29DB}">
  <dimension ref="A1:G21"/>
  <sheetViews>
    <sheetView workbookViewId="0">
      <selection activeCell="B1" sqref="B1:G1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VLOOKUP($A2,'Case-1'!$A$1:$AN$21,32,FALSE)</f>
        <v>1.4128484785870379E-2</v>
      </c>
      <c r="C2">
        <f>VLOOKUP($A2,'Case-2'!$A$1:$AN$21,32,FALSE)</f>
        <v>1.475491630651511E-2</v>
      </c>
      <c r="D2">
        <f>VLOOKUP($A2,'Case-3'!$A$1:$AN$21,32,FALSE)</f>
        <v>0.1583504995412896</v>
      </c>
      <c r="E2">
        <f>VLOOKUP($A2,'Case-4'!$A$1:$AN$21,32,FALSE)</f>
        <v>6.0259638968854813E-3</v>
      </c>
      <c r="F2">
        <f>VLOOKUP($A2,'Case-5'!$A$1:$AN$21,32,FALSE)</f>
        <v>0.12466867749319389</v>
      </c>
      <c r="G2">
        <f>VLOOKUP($A2,'Case-6'!$A$1:$AN$21,32,FALSE)</f>
        <v>0</v>
      </c>
    </row>
    <row r="3" spans="1:7">
      <c r="A3" s="3">
        <v>12</v>
      </c>
      <c r="B3">
        <f>VLOOKUP($A3,'Case-1'!$A$1:$AN$21,32,FALSE)</f>
        <v>1.4993620348450171E-2</v>
      </c>
      <c r="C3">
        <f>VLOOKUP($A3,'Case-2'!$A$1:$AN$21,32,FALSE)</f>
        <v>2.1288204009595361E-2</v>
      </c>
      <c r="D3">
        <f>VLOOKUP($A3,'Case-3'!$A$1:$AN$21,32,FALSE)</f>
        <v>1.9801905648587751E-2</v>
      </c>
      <c r="E3">
        <f>VLOOKUP($A3,'Case-4'!$A$1:$AN$21,32,FALSE)</f>
        <v>2.6511071830347899E-2</v>
      </c>
      <c r="F3">
        <f>VLOOKUP($A3,'Case-5'!$A$1:$AN$21,32,FALSE)</f>
        <v>5.9629605304441814E-3</v>
      </c>
      <c r="G3">
        <f>VLOOKUP($A3,'Case-6'!$A$1:$AN$21,32,FALSE)</f>
        <v>0</v>
      </c>
    </row>
    <row r="4" spans="1:7">
      <c r="A4" s="2">
        <v>18</v>
      </c>
      <c r="B4">
        <f>VLOOKUP($A4,'Case-1'!$A$1:$AN$21,32,FALSE)</f>
        <v>1.366147824803759E-2</v>
      </c>
      <c r="C4">
        <f>VLOOKUP($A4,'Case-2'!$A$1:$AN$21,32,FALSE)</f>
        <v>3.0420150110887861E-2</v>
      </c>
      <c r="D4">
        <f>VLOOKUP($A4,'Case-3'!$A$1:$AN$21,32,FALSE)</f>
        <v>2.1949381955430749E-2</v>
      </c>
      <c r="E4">
        <f>VLOOKUP($A4,'Case-4'!$A$1:$AN$21,32,FALSE)</f>
        <v>1.8705377815837129E-2</v>
      </c>
      <c r="F4">
        <f>VLOOKUP($A4,'Case-5'!$A$1:$AN$21,32,FALSE)</f>
        <v>5.1387144564264244E-3</v>
      </c>
      <c r="G4">
        <f>VLOOKUP($A4,'Case-6'!$A$1:$AN$21,32,FALSE)</f>
        <v>4.1765658723595167E-2</v>
      </c>
    </row>
    <row r="5" spans="1:7">
      <c r="A5" s="3">
        <v>24</v>
      </c>
      <c r="B5">
        <f>VLOOKUP($A5,'Case-1'!$A$1:$AN$21,32,FALSE)</f>
        <v>1.396901905788083E-2</v>
      </c>
      <c r="C5">
        <f>VLOOKUP($A5,'Case-2'!$A$1:$AN$21,32,FALSE)</f>
        <v>2.0754559794817572E-2</v>
      </c>
      <c r="D5">
        <f>VLOOKUP($A5,'Case-3'!$A$1:$AN$21,32,FALSE)</f>
        <v>2.3769055340378108E-2</v>
      </c>
      <c r="E5">
        <f>VLOOKUP($A5,'Case-4'!$A$1:$AN$21,32,FALSE)</f>
        <v>1.9860758145001069E-2</v>
      </c>
      <c r="F5">
        <f>VLOOKUP($A5,'Case-5'!$A$1:$AN$21,32,FALSE)</f>
        <v>2.8787375950561672E-2</v>
      </c>
      <c r="G5">
        <f>VLOOKUP($A5,'Case-6'!$A$1:$AN$21,32,FALSE)</f>
        <v>3.5441169346314631E-2</v>
      </c>
    </row>
    <row r="6" spans="1:7">
      <c r="A6" s="2">
        <v>30</v>
      </c>
      <c r="B6">
        <f>VLOOKUP($A6,'Case-1'!$A$1:$AN$21,32,FALSE)</f>
        <v>1.35246920002436E-2</v>
      </c>
      <c r="C6">
        <f>VLOOKUP($A6,'Case-2'!$A$1:$AN$21,32,FALSE)</f>
        <v>2.4521291953111309E-2</v>
      </c>
      <c r="D6">
        <f>VLOOKUP($A6,'Case-3'!$A$1:$AN$21,32,FALSE)</f>
        <v>2.4284306973033552E-2</v>
      </c>
      <c r="E6">
        <f>VLOOKUP($A6,'Case-4'!$A$1:$AN$21,32,FALSE)</f>
        <v>3.047215453627828E-2</v>
      </c>
      <c r="F6">
        <f>VLOOKUP($A6,'Case-5'!$A$1:$AN$21,32,FALSE)</f>
        <v>3.208135380578906E-2</v>
      </c>
      <c r="G6">
        <f>VLOOKUP($A6,'Case-6'!$A$1:$AN$21,32,FALSE)</f>
        <v>3.9732630869793638E-2</v>
      </c>
    </row>
    <row r="7" spans="1:7">
      <c r="A7" s="3">
        <v>36</v>
      </c>
      <c r="B7">
        <f>VLOOKUP($A7,'Case-1'!$A$1:$AN$21,32,FALSE)</f>
        <v>1.2940070814437869E-2</v>
      </c>
      <c r="C7">
        <f>VLOOKUP($A7,'Case-2'!$A$1:$AN$21,32,FALSE)</f>
        <v>2.1726952966766001E-2</v>
      </c>
      <c r="D7">
        <f>VLOOKUP($A7,'Case-3'!$A$1:$AN$21,32,FALSE)</f>
        <v>2.0995709919360488E-2</v>
      </c>
      <c r="E7">
        <f>VLOOKUP($A7,'Case-4'!$A$1:$AN$21,32,FALSE)</f>
        <v>2.616434530097354E-2</v>
      </c>
      <c r="F7">
        <f>VLOOKUP($A7,'Case-5'!$A$1:$AN$21,32,FALSE)</f>
        <v>2.2948959624007659E-2</v>
      </c>
      <c r="G7">
        <f>VLOOKUP($A7,'Case-6'!$A$1:$AN$21,32,FALSE)</f>
        <v>3.5769404698252898E-2</v>
      </c>
    </row>
    <row r="8" spans="1:7">
      <c r="A8" s="2">
        <v>42</v>
      </c>
      <c r="B8">
        <f>VLOOKUP($A8,'Case-1'!$A$1:$AN$21,32,FALSE)</f>
        <v>1.28556552775413E-2</v>
      </c>
      <c r="C8">
        <f>VLOOKUP($A8,'Case-2'!$A$1:$AN$21,32,FALSE)</f>
        <v>1.9065759284560529E-2</v>
      </c>
      <c r="D8">
        <f>VLOOKUP($A8,'Case-3'!$A$1:$AN$21,32,FALSE)</f>
        <v>2.2446822689665909E-2</v>
      </c>
      <c r="E8">
        <f>VLOOKUP($A8,'Case-4'!$A$1:$AN$21,32,FALSE)</f>
        <v>2.658796724513848E-2</v>
      </c>
      <c r="F8">
        <f>VLOOKUP($A8,'Case-5'!$A$1:$AN$21,32,FALSE)</f>
        <v>2.985607514374309E-2</v>
      </c>
      <c r="G8">
        <f>VLOOKUP($A8,'Case-6'!$A$1:$AN$21,32,FALSE)</f>
        <v>3.7546864842971012E-2</v>
      </c>
    </row>
    <row r="9" spans="1:7">
      <c r="A9" s="3">
        <v>48</v>
      </c>
      <c r="B9">
        <f>VLOOKUP($A9,'Case-1'!$A$1:$AN$21,32,FALSE)</f>
        <v>1.2440013382819181E-2</v>
      </c>
      <c r="C9">
        <f>VLOOKUP($A9,'Case-2'!$A$1:$AN$21,32,FALSE)</f>
        <v>2.33409611200152E-2</v>
      </c>
      <c r="D9">
        <f>VLOOKUP($A9,'Case-3'!$A$1:$AN$21,32,FALSE)</f>
        <v>2.1730410970235151E-2</v>
      </c>
      <c r="E9">
        <f>VLOOKUP($A9,'Case-4'!$A$1:$AN$21,32,FALSE)</f>
        <v>2.457635796578345E-2</v>
      </c>
      <c r="F9">
        <f>VLOOKUP($A9,'Case-5'!$A$1:$AN$21,32,FALSE)</f>
        <v>2.824167958773223E-2</v>
      </c>
      <c r="G9">
        <f>VLOOKUP($A9,'Case-6'!$A$1:$AN$21,32,FALSE)</f>
        <v>3.1417653233027351E-2</v>
      </c>
    </row>
    <row r="10" spans="1:7">
      <c r="A10" s="2">
        <v>54</v>
      </c>
      <c r="B10">
        <f>VLOOKUP($A10,'Case-1'!$A$1:$AN$21,32,FALSE)</f>
        <v>1.104212077008021E-2</v>
      </c>
      <c r="C10">
        <f>VLOOKUP($A10,'Case-2'!$A$1:$AN$21,32,FALSE)</f>
        <v>2.3167696152079691E-2</v>
      </c>
      <c r="D10">
        <f>VLOOKUP($A10,'Case-3'!$A$1:$AN$21,32,FALSE)</f>
        <v>2.2967001720355939E-2</v>
      </c>
      <c r="E10">
        <f>VLOOKUP($A10,'Case-4'!$A$1:$AN$21,32,FALSE)</f>
        <v>2.3719725359770249E-2</v>
      </c>
      <c r="F10">
        <f>VLOOKUP($A10,'Case-5'!$A$1:$AN$21,32,FALSE)</f>
        <v>2.7899992005585579E-2</v>
      </c>
      <c r="G10">
        <f>VLOOKUP($A10,'Case-6'!$A$1:$AN$21,32,FALSE)</f>
        <v>3.4803583345641993E-2</v>
      </c>
    </row>
    <row r="11" spans="1:7">
      <c r="A11" s="3">
        <v>60</v>
      </c>
      <c r="B11">
        <f>VLOOKUP($A11,'Case-1'!$A$1:$AN$21,32,FALSE)</f>
        <v>1.1173678124255069E-2</v>
      </c>
      <c r="C11">
        <f>VLOOKUP($A11,'Case-2'!$A$1:$AN$21,32,FALSE)</f>
        <v>2.3889184634131699E-2</v>
      </c>
      <c r="D11">
        <f>VLOOKUP($A11,'Case-3'!$A$1:$AN$21,32,FALSE)</f>
        <v>2.497236747583265E-2</v>
      </c>
      <c r="E11">
        <f>VLOOKUP($A11,'Case-4'!$A$1:$AN$21,32,FALSE)</f>
        <v>2.762103635495089E-2</v>
      </c>
      <c r="F11">
        <f>VLOOKUP($A11,'Case-5'!$A$1:$AN$21,32,FALSE)</f>
        <v>3.0139898360086931E-2</v>
      </c>
      <c r="G11">
        <f>VLOOKUP($A11,'Case-6'!$A$1:$AN$21,32,FALSE)</f>
        <v>2.8898494506866001E-2</v>
      </c>
    </row>
    <row r="12" spans="1:7">
      <c r="A12" s="2">
        <v>66</v>
      </c>
      <c r="B12">
        <f>VLOOKUP($A12,'Case-1'!$A$1:$AN$21,32,FALSE)</f>
        <v>1.352654058076241E-2</v>
      </c>
      <c r="C12">
        <f>VLOOKUP($A12,'Case-2'!$A$1:$AN$21,32,FALSE)</f>
        <v>2.2039385584505439E-2</v>
      </c>
      <c r="D12">
        <f>VLOOKUP($A12,'Case-3'!$A$1:$AN$21,32,FALSE)</f>
        <v>2.231882398631518E-2</v>
      </c>
      <c r="E12">
        <f>VLOOKUP($A12,'Case-4'!$A$1:$AN$21,32,FALSE)</f>
        <v>2.180511309462985E-2</v>
      </c>
      <c r="F12">
        <f>VLOOKUP($A12,'Case-5'!$A$1:$AN$21,32,FALSE)</f>
        <v>2.4725097220044671E-2</v>
      </c>
      <c r="G12">
        <f>VLOOKUP($A12,'Case-6'!$A$1:$AN$21,32,FALSE)</f>
        <v>3.066006009490552E-2</v>
      </c>
    </row>
    <row r="13" spans="1:7">
      <c r="A13" s="3">
        <v>72</v>
      </c>
      <c r="B13">
        <f>VLOOKUP($A13,'Case-1'!$A$1:$AN$21,32,FALSE)</f>
        <v>1.1936449187195971E-2</v>
      </c>
      <c r="C13">
        <f>VLOOKUP($A13,'Case-2'!$A$1:$AN$21,32,FALSE)</f>
        <v>2.3304136640300462E-2</v>
      </c>
      <c r="D13">
        <f>VLOOKUP($A13,'Case-3'!$A$1:$AN$21,32,FALSE)</f>
        <v>2.407948378533736E-2</v>
      </c>
      <c r="E13">
        <f>VLOOKUP($A13,'Case-4'!$A$1:$AN$21,32,FALSE)</f>
        <v>2.0773194052392571E-2</v>
      </c>
      <c r="F13">
        <f>VLOOKUP($A13,'Case-5'!$A$1:$AN$21,32,FALSE)</f>
        <v>2.7773423905927921E-2</v>
      </c>
      <c r="G13">
        <f>VLOOKUP($A13,'Case-6'!$A$1:$AN$21,32,FALSE)</f>
        <v>1.980607498920342E-2</v>
      </c>
    </row>
    <row r="14" spans="1:7">
      <c r="A14" s="2">
        <v>78</v>
      </c>
      <c r="B14">
        <f>VLOOKUP($A14,'Case-1'!$A$1:$AN$21,32,FALSE)</f>
        <v>1.0359267106133351E-2</v>
      </c>
      <c r="C14">
        <f>VLOOKUP($A14,'Case-2'!$A$1:$AN$21,32,FALSE)</f>
        <v>1.9930550081479089E-2</v>
      </c>
      <c r="D14">
        <f>VLOOKUP($A14,'Case-3'!$A$1:$AN$21,32,FALSE)</f>
        <v>2.3585410210671499E-2</v>
      </c>
      <c r="E14">
        <f>VLOOKUP($A14,'Case-4'!$A$1:$AN$21,32,FALSE)</f>
        <v>2.6523220471945028E-2</v>
      </c>
      <c r="F14">
        <f>VLOOKUP($A14,'Case-5'!$A$1:$AN$21,32,FALSE)</f>
        <v>2.2316257796651379E-2</v>
      </c>
      <c r="G14">
        <f>VLOOKUP($A14,'Case-6'!$A$1:$AN$21,32,FALSE)</f>
        <v>2.1400292815911711E-2</v>
      </c>
    </row>
    <row r="15" spans="1:7">
      <c r="A15" s="3">
        <v>84</v>
      </c>
      <c r="B15">
        <f>VLOOKUP($A15,'Case-1'!$A$1:$AN$21,32,FALSE)</f>
        <v>1.1314321769538839E-2</v>
      </c>
      <c r="C15">
        <f>VLOOKUP($A15,'Case-2'!$A$1:$AN$21,32,FALSE)</f>
        <v>2.3304823859498291E-2</v>
      </c>
      <c r="D15">
        <f>VLOOKUP($A15,'Case-3'!$A$1:$AN$21,32,FALSE)</f>
        <v>1.9938399809832349E-2</v>
      </c>
      <c r="E15">
        <f>VLOOKUP($A15,'Case-4'!$A$1:$AN$21,32,FALSE)</f>
        <v>2.2455508859986279E-2</v>
      </c>
      <c r="F15">
        <f>VLOOKUP($A15,'Case-5'!$A$1:$AN$21,32,FALSE)</f>
        <v>2.1074031954299601E-2</v>
      </c>
      <c r="G15">
        <f>VLOOKUP($A15,'Case-6'!$A$1:$AN$21,32,FALSE)</f>
        <v>2.9938894246862271E-2</v>
      </c>
    </row>
    <row r="16" spans="1:7">
      <c r="A16" s="2">
        <v>90</v>
      </c>
      <c r="B16">
        <f>VLOOKUP($A16,'Case-1'!$A$1:$AN$21,32,FALSE)</f>
        <v>1.164276856950582E-2</v>
      </c>
      <c r="C16">
        <f>VLOOKUP($A16,'Case-2'!$A$1:$AN$21,32,FALSE)</f>
        <v>2.248023017247365E-2</v>
      </c>
      <c r="D16">
        <f>VLOOKUP($A16,'Case-3'!$A$1:$AN$21,32,FALSE)</f>
        <v>1.7874672384925301E-2</v>
      </c>
      <c r="E16">
        <f>VLOOKUP($A16,'Case-4'!$A$1:$AN$21,32,FALSE)</f>
        <v>2.2715497310754271E-2</v>
      </c>
      <c r="F16">
        <f>VLOOKUP($A16,'Case-5'!$A$1:$AN$21,32,FALSE)</f>
        <v>2.6868299414723629E-2</v>
      </c>
      <c r="G16">
        <f>VLOOKUP($A16,'Case-6'!$A$1:$AN$21,32,FALSE)</f>
        <v>2.687913196956055E-2</v>
      </c>
    </row>
    <row r="17" spans="1:7">
      <c r="A17" s="3">
        <v>96</v>
      </c>
      <c r="B17">
        <f>VLOOKUP($A17,'Case-1'!$A$1:$AN$21,32,FALSE)</f>
        <v>1.1977219954244001E-2</v>
      </c>
      <c r="C17">
        <f>VLOOKUP($A17,'Case-2'!$A$1:$AN$21,32,FALSE)</f>
        <v>1.929292943061316E-2</v>
      </c>
      <c r="D17">
        <f>VLOOKUP($A17,'Case-3'!$A$1:$AN$21,32,FALSE)</f>
        <v>2.1096573306209739E-2</v>
      </c>
      <c r="E17">
        <f>VLOOKUP($A17,'Case-4'!$A$1:$AN$21,32,FALSE)</f>
        <v>2.3484681271570589E-2</v>
      </c>
      <c r="F17">
        <f>VLOOKUP($A17,'Case-5'!$A$1:$AN$21,32,FALSE)</f>
        <v>2.569985837266462E-2</v>
      </c>
      <c r="G17">
        <f>VLOOKUP($A17,'Case-6'!$A$1:$AN$21,32,FALSE)</f>
        <v>2.815940959611421E-2</v>
      </c>
    </row>
    <row r="18" spans="1:7">
      <c r="A18" s="2">
        <v>102</v>
      </c>
      <c r="B18">
        <f>VLOOKUP($A18,'Case-1'!$A$1:$AN$21,32,FALSE)</f>
        <v>1.2464325961526711E-2</v>
      </c>
      <c r="C18">
        <f>VLOOKUP($A18,'Case-2'!$A$1:$AN$21,32,FALSE)</f>
        <v>2.1523097703730971E-2</v>
      </c>
      <c r="D18">
        <f>VLOOKUP($A18,'Case-3'!$A$1:$AN$21,32,FALSE)</f>
        <v>2.0037234926375588E-2</v>
      </c>
      <c r="E18">
        <f>VLOOKUP($A18,'Case-4'!$A$1:$AN$21,32,FALSE)</f>
        <v>2.0882478933900571E-2</v>
      </c>
      <c r="F18">
        <f>VLOOKUP($A18,'Case-5'!$A$1:$AN$21,32,FALSE)</f>
        <v>2.2223635148784081E-2</v>
      </c>
      <c r="G18">
        <f>VLOOKUP($A18,'Case-6'!$A$1:$AN$21,32,FALSE)</f>
        <v>1.254849584805918E-2</v>
      </c>
    </row>
    <row r="19" spans="1:7">
      <c r="A19" s="3">
        <v>108</v>
      </c>
      <c r="B19">
        <f>VLOOKUP($A19,'Case-1'!$A$1:$AN$21,32,FALSE)</f>
        <v>1.2775132114170451E-2</v>
      </c>
      <c r="C19">
        <f>VLOOKUP($A19,'Case-2'!$A$1:$AN$21,32,FALSE)</f>
        <v>2.09572238696282E-2</v>
      </c>
      <c r="D19">
        <f>VLOOKUP($A19,'Case-3'!$A$1:$AN$21,32,FALSE)</f>
        <v>2.057653040205171E-2</v>
      </c>
      <c r="E19">
        <f>VLOOKUP($A19,'Case-4'!$A$1:$AN$21,32,FALSE)</f>
        <v>2.3597317907234849E-2</v>
      </c>
      <c r="F19">
        <f>VLOOKUP($A19,'Case-5'!$A$1:$AN$21,32,FALSE)</f>
        <v>2.305984206598332E-2</v>
      </c>
      <c r="G19">
        <f>VLOOKUP($A19,'Case-6'!$A$1:$AN$21,32,FALSE)</f>
        <v>2.8818793816489489E-2</v>
      </c>
    </row>
    <row r="20" spans="1:7">
      <c r="A20" s="2">
        <v>114</v>
      </c>
      <c r="B20">
        <f>VLOOKUP($A20,'Case-1'!$A$1:$AN$21,32,FALSE)</f>
        <v>1.1582227826019901E-2</v>
      </c>
      <c r="C20">
        <f>VLOOKUP($A20,'Case-2'!$A$1:$AN$21,32,FALSE)</f>
        <v>2.2598517702735341E-2</v>
      </c>
      <c r="D20">
        <f>VLOOKUP($A20,'Case-3'!$A$1:$AN$21,32,FALSE)</f>
        <v>1.8388390913678939E-2</v>
      </c>
      <c r="E20">
        <f>VLOOKUP($A20,'Case-4'!$A$1:$AN$21,32,FALSE)</f>
        <v>2.26160577568396E-2</v>
      </c>
      <c r="F20">
        <f>VLOOKUP($A20,'Case-5'!$A$1:$AN$21,32,FALSE)</f>
        <v>2.124852563179885E-2</v>
      </c>
      <c r="G20">
        <f>VLOOKUP($A20,'Case-6'!$A$1:$AN$21,32,FALSE)</f>
        <v>1.430850621835783E-2</v>
      </c>
    </row>
    <row r="21" spans="1:7">
      <c r="A21" s="3">
        <v>120</v>
      </c>
      <c r="B21">
        <f>VLOOKUP($A21,'Case-1'!$A$1:$AN$21,32,FALSE)</f>
        <v>1.1388763937092121E-2</v>
      </c>
      <c r="C21">
        <f>VLOOKUP($A21,'Case-2'!$A$1:$AN$21,32,FALSE)</f>
        <v>2.4581011688114839E-2</v>
      </c>
      <c r="D21">
        <f>VLOOKUP($A21,'Case-3'!$A$1:$AN$21,32,FALSE)</f>
        <v>2.0417047814194442E-2</v>
      </c>
      <c r="E21">
        <f>VLOOKUP($A21,'Case-4'!$A$1:$AN$21,32,FALSE)</f>
        <v>2.4059558073587169E-2</v>
      </c>
      <c r="F21">
        <f>VLOOKUP($A21,'Case-5'!$A$1:$AN$21,32,FALSE)</f>
        <v>2.7995875464961229E-2</v>
      </c>
      <c r="G21">
        <f>VLOOKUP($A21,'Case-6'!$A$1:$AN$21,32,FALSE)</f>
        <v>1.498346128262517E-2</v>
      </c>
    </row>
  </sheetData>
  <phoneticPr fontId="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84AF-B8F3-4A2A-ADC1-C2A048F3B303}">
  <dimension ref="A1:G22"/>
  <sheetViews>
    <sheetView workbookViewId="0">
      <selection activeCell="B22" sqref="B22:G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VLOOKUP($A2,'Case-1'!$A$1:$AN$21,33,FALSE)</f>
        <v>0.40114687229437218</v>
      </c>
      <c r="C2">
        <f>VLOOKUP($A2,'Case-2'!$A$1:$AN$21,33,FALSE)</f>
        <v>0.40092552308802298</v>
      </c>
      <c r="D2">
        <f>VLOOKUP($A2,'Case-3'!$A$1:$AN$21,33,FALSE)</f>
        <v>0.38262575759637668</v>
      </c>
      <c r="E2">
        <f>VLOOKUP($A2,'Case-4'!$A$1:$AN$21,33,FALSE)</f>
        <v>0.32873009490509469</v>
      </c>
      <c r="F2">
        <f>VLOOKUP($A2,'Case-5'!$A$1:$AN$21,33,FALSE)</f>
        <v>0.39084197062311599</v>
      </c>
      <c r="G2">
        <f>VLOOKUP($A2,'Case-6'!$A$1:$AN$21,33,FALSE)</f>
        <v>0.31285333450948749</v>
      </c>
    </row>
    <row r="3" spans="1:7">
      <c r="A3" s="3">
        <v>12</v>
      </c>
      <c r="B3">
        <f>VLOOKUP($A3,'Case-1'!$A$1:$AN$21,33,FALSE)</f>
        <v>0.43080632301689331</v>
      </c>
      <c r="C3">
        <f>VLOOKUP($A3,'Case-2'!$A$1:$AN$21,33,FALSE)</f>
        <v>0.4014141751331699</v>
      </c>
      <c r="D3">
        <f>VLOOKUP($A3,'Case-3'!$A$1:$AN$21,33,FALSE)</f>
        <v>0.36291615230388252</v>
      </c>
      <c r="E3">
        <f>VLOOKUP($A3,'Case-4'!$A$1:$AN$21,33,FALSE)</f>
        <v>0.34051346509941549</v>
      </c>
      <c r="F3">
        <f>VLOOKUP($A3,'Case-5'!$A$1:$AN$21,33,FALSE)</f>
        <v>0.33069295031505869</v>
      </c>
      <c r="G3">
        <f>VLOOKUP($A3,'Case-6'!$A$1:$AN$21,33,FALSE)</f>
        <v>0.32365730038352319</v>
      </c>
    </row>
    <row r="4" spans="1:7">
      <c r="A4" s="2">
        <v>18</v>
      </c>
      <c r="B4">
        <f>VLOOKUP($A4,'Case-1'!$A$1:$AN$21,33,FALSE)</f>
        <v>0.42786675712698841</v>
      </c>
      <c r="C4">
        <f>VLOOKUP($A4,'Case-2'!$A$1:$AN$21,33,FALSE)</f>
        <v>0.41622672820326229</v>
      </c>
      <c r="D4">
        <f>VLOOKUP($A4,'Case-3'!$A$1:$AN$21,33,FALSE)</f>
        <v>0.38147183321962669</v>
      </c>
      <c r="E4">
        <f>VLOOKUP($A4,'Case-4'!$A$1:$AN$21,33,FALSE)</f>
        <v>0.35285677869655879</v>
      </c>
      <c r="F4">
        <f>VLOOKUP($A4,'Case-5'!$A$1:$AN$21,33,FALSE)</f>
        <v>0.34582917025358362</v>
      </c>
      <c r="G4">
        <f>VLOOKUP($A4,'Case-6'!$A$1:$AN$21,33,FALSE)</f>
        <v>0.33137352698086242</v>
      </c>
    </row>
    <row r="5" spans="1:7">
      <c r="A5" s="3">
        <v>24</v>
      </c>
      <c r="B5">
        <f>VLOOKUP($A5,'Case-1'!$A$1:$AN$21,33,FALSE)</f>
        <v>0.42753891044288322</v>
      </c>
      <c r="C5">
        <f>VLOOKUP($A5,'Case-2'!$A$1:$AN$21,33,FALSE)</f>
        <v>0.41718547045909132</v>
      </c>
      <c r="D5">
        <f>VLOOKUP($A5,'Case-3'!$A$1:$AN$21,33,FALSE)</f>
        <v>0.37931078386107708</v>
      </c>
      <c r="E5">
        <f>VLOOKUP($A5,'Case-4'!$A$1:$AN$21,33,FALSE)</f>
        <v>0.36059317476975389</v>
      </c>
      <c r="F5">
        <f>VLOOKUP($A5,'Case-5'!$A$1:$AN$21,33,FALSE)</f>
        <v>0.34016102456598341</v>
      </c>
      <c r="G5">
        <f>VLOOKUP($A5,'Case-6'!$A$1:$AN$21,33,FALSE)</f>
        <v>0.33023943728163441</v>
      </c>
    </row>
    <row r="6" spans="1:7">
      <c r="A6" s="2">
        <v>30</v>
      </c>
      <c r="B6">
        <f>VLOOKUP($A6,'Case-1'!$A$1:$AN$21,33,FALSE)</f>
        <v>0.43103743024935132</v>
      </c>
      <c r="C6">
        <f>VLOOKUP($A6,'Case-2'!$A$1:$AN$21,33,FALSE)</f>
        <v>0.41350290953346908</v>
      </c>
      <c r="D6">
        <f>VLOOKUP($A6,'Case-3'!$A$1:$AN$21,33,FALSE)</f>
        <v>0.38557242390366198</v>
      </c>
      <c r="E6">
        <f>VLOOKUP($A6,'Case-4'!$A$1:$AN$21,33,FALSE)</f>
        <v>0.36573058449493517</v>
      </c>
      <c r="F6">
        <f>VLOOKUP($A6,'Case-5'!$A$1:$AN$21,33,FALSE)</f>
        <v>0.34797133688594017</v>
      </c>
      <c r="G6">
        <f>VLOOKUP($A6,'Case-6'!$A$1:$AN$21,33,FALSE)</f>
        <v>0.33647429570809539</v>
      </c>
    </row>
    <row r="7" spans="1:7">
      <c r="A7" s="3">
        <v>36</v>
      </c>
      <c r="B7">
        <f>VLOOKUP($A7,'Case-1'!$A$1:$AN$21,33,FALSE)</f>
        <v>0.43565079798382478</v>
      </c>
      <c r="C7">
        <f>VLOOKUP($A7,'Case-2'!$A$1:$AN$21,33,FALSE)</f>
        <v>0.42631236996441207</v>
      </c>
      <c r="D7">
        <f>VLOOKUP($A7,'Case-3'!$A$1:$AN$21,33,FALSE)</f>
        <v>0.37977020551071461</v>
      </c>
      <c r="E7">
        <f>VLOOKUP($A7,'Case-4'!$A$1:$AN$21,33,FALSE)</f>
        <v>0.35977951691479709</v>
      </c>
      <c r="F7">
        <f>VLOOKUP($A7,'Case-5'!$A$1:$AN$21,33,FALSE)</f>
        <v>0.34342615736240839</v>
      </c>
      <c r="G7">
        <f>VLOOKUP($A7,'Case-6'!$A$1:$AN$21,33,FALSE)</f>
        <v>0.33609704092750881</v>
      </c>
    </row>
    <row r="8" spans="1:7">
      <c r="A8" s="2">
        <v>42</v>
      </c>
      <c r="B8">
        <f>VLOOKUP($A8,'Case-1'!$A$1:$AN$21,33,FALSE)</f>
        <v>0.43361437219166987</v>
      </c>
      <c r="C8">
        <f>VLOOKUP($A8,'Case-2'!$A$1:$AN$21,33,FALSE)</f>
        <v>0.41732732316385829</v>
      </c>
      <c r="D8">
        <f>VLOOKUP($A8,'Case-3'!$A$1:$AN$21,33,FALSE)</f>
        <v>0.3881404210975159</v>
      </c>
      <c r="E8">
        <f>VLOOKUP($A8,'Case-4'!$A$1:$AN$21,33,FALSE)</f>
        <v>0.36250135471024758</v>
      </c>
      <c r="F8">
        <f>VLOOKUP($A8,'Case-5'!$A$1:$AN$21,33,FALSE)</f>
        <v>0.35036958292354697</v>
      </c>
      <c r="G8">
        <f>VLOOKUP($A8,'Case-6'!$A$1:$AN$21,33,FALSE)</f>
        <v>0.33496049752728763</v>
      </c>
    </row>
    <row r="9" spans="1:7">
      <c r="A9" s="3">
        <v>48</v>
      </c>
      <c r="B9">
        <f>VLOOKUP($A9,'Case-1'!$A$1:$AN$21,33,FALSE)</f>
        <v>0.4333634388365013</v>
      </c>
      <c r="C9">
        <f>VLOOKUP($A9,'Case-2'!$A$1:$AN$21,33,FALSE)</f>
        <v>0.42501693530319051</v>
      </c>
      <c r="D9">
        <f>VLOOKUP($A9,'Case-3'!$A$1:$AN$21,33,FALSE)</f>
        <v>0.38631915073450368</v>
      </c>
      <c r="E9">
        <f>VLOOKUP($A9,'Case-4'!$A$1:$AN$21,33,FALSE)</f>
        <v>0.36553756917929808</v>
      </c>
      <c r="F9">
        <f>VLOOKUP($A9,'Case-5'!$A$1:$AN$21,33,FALSE)</f>
        <v>0.35266640452726888</v>
      </c>
      <c r="G9">
        <f>VLOOKUP($A9,'Case-6'!$A$1:$AN$21,33,FALSE)</f>
        <v>0.33858305563476809</v>
      </c>
    </row>
    <row r="10" spans="1:7">
      <c r="A10" s="2">
        <v>54</v>
      </c>
      <c r="B10">
        <f>VLOOKUP($A10,'Case-1'!$A$1:$AN$21,33,FALSE)</f>
        <v>0.43330451224455768</v>
      </c>
      <c r="C10">
        <f>VLOOKUP($A10,'Case-2'!$A$1:$AN$21,33,FALSE)</f>
        <v>0.41688715741660848</v>
      </c>
      <c r="D10">
        <f>VLOOKUP($A10,'Case-3'!$A$1:$AN$21,33,FALSE)</f>
        <v>0.38511095303060272</v>
      </c>
      <c r="E10">
        <f>VLOOKUP($A10,'Case-4'!$A$1:$AN$21,33,FALSE)</f>
        <v>0.36749562102859989</v>
      </c>
      <c r="F10">
        <f>VLOOKUP($A10,'Case-5'!$A$1:$AN$21,33,FALSE)</f>
        <v>0.34813371806976739</v>
      </c>
      <c r="G10">
        <f>VLOOKUP($A10,'Case-6'!$A$1:$AN$21,33,FALSE)</f>
        <v>0.34011126855561352</v>
      </c>
    </row>
    <row r="11" spans="1:7">
      <c r="A11" s="3">
        <v>60</v>
      </c>
      <c r="B11">
        <f>VLOOKUP($A11,'Case-1'!$A$1:$AN$21,33,FALSE)</f>
        <v>0.43570181855856399</v>
      </c>
      <c r="C11">
        <f>VLOOKUP($A11,'Case-2'!$A$1:$AN$21,33,FALSE)</f>
        <v>0.41855872500683949</v>
      </c>
      <c r="D11">
        <f>VLOOKUP($A11,'Case-3'!$A$1:$AN$21,33,FALSE)</f>
        <v>0.39084313283316269</v>
      </c>
      <c r="E11">
        <f>VLOOKUP($A11,'Case-4'!$A$1:$AN$21,33,FALSE)</f>
        <v>0.36752148584868188</v>
      </c>
      <c r="F11">
        <f>VLOOKUP($A11,'Case-5'!$A$1:$AN$21,33,FALSE)</f>
        <v>0.34924832283388108</v>
      </c>
      <c r="G11">
        <f>VLOOKUP($A11,'Case-6'!$A$1:$AN$21,33,FALSE)</f>
        <v>0.33869063708985858</v>
      </c>
    </row>
    <row r="12" spans="1:7">
      <c r="A12" s="2">
        <v>66</v>
      </c>
      <c r="B12">
        <f>VLOOKUP($A12,'Case-1'!$A$1:$AN$21,33,FALSE)</f>
        <v>0.43725456952467401</v>
      </c>
      <c r="C12">
        <f>VLOOKUP($A12,'Case-2'!$A$1:$AN$21,33,FALSE)</f>
        <v>0.42258709466818872</v>
      </c>
      <c r="D12">
        <f>VLOOKUP($A12,'Case-3'!$A$1:$AN$21,33,FALSE)</f>
        <v>0.39206985656624932</v>
      </c>
      <c r="E12">
        <f>VLOOKUP($A12,'Case-4'!$A$1:$AN$21,33,FALSE)</f>
        <v>0.36798331425321201</v>
      </c>
      <c r="F12">
        <f>VLOOKUP($A12,'Case-5'!$A$1:$AN$21,33,FALSE)</f>
        <v>0.35614500426184631</v>
      </c>
      <c r="G12">
        <f>VLOOKUP($A12,'Case-6'!$A$1:$AN$21,33,FALSE)</f>
        <v>0.34040582255717311</v>
      </c>
    </row>
    <row r="13" spans="1:7">
      <c r="A13" s="3">
        <v>72</v>
      </c>
      <c r="B13">
        <f>VLOOKUP($A13,'Case-1'!$A$1:$AN$21,33,FALSE)</f>
        <v>0.43621628942400381</v>
      </c>
      <c r="C13">
        <f>VLOOKUP($A13,'Case-2'!$A$1:$AN$21,33,FALSE)</f>
        <v>0.42112977651860151</v>
      </c>
      <c r="D13">
        <f>VLOOKUP($A13,'Case-3'!$A$1:$AN$21,33,FALSE)</f>
        <v>0.38916336532905471</v>
      </c>
      <c r="E13">
        <f>VLOOKUP($A13,'Case-4'!$A$1:$AN$21,33,FALSE)</f>
        <v>0.3683831572070293</v>
      </c>
      <c r="F13">
        <f>VLOOKUP($A13,'Case-5'!$A$1:$AN$21,33,FALSE)</f>
        <v>0.35212523414819902</v>
      </c>
      <c r="G13">
        <f>VLOOKUP($A13,'Case-6'!$A$1:$AN$21,33,FALSE)</f>
        <v>0.34045746519598719</v>
      </c>
    </row>
    <row r="14" spans="1:7">
      <c r="A14" s="2">
        <v>78</v>
      </c>
      <c r="B14">
        <f>VLOOKUP($A14,'Case-1'!$A$1:$AN$21,33,FALSE)</f>
        <v>0.43588935713494709</v>
      </c>
      <c r="C14">
        <f>VLOOKUP($A14,'Case-2'!$A$1:$AN$21,33,FALSE)</f>
        <v>0.42423730730736059</v>
      </c>
      <c r="D14">
        <f>VLOOKUP($A14,'Case-3'!$A$1:$AN$21,33,FALSE)</f>
        <v>0.38863045481272412</v>
      </c>
      <c r="E14">
        <f>VLOOKUP($A14,'Case-4'!$A$1:$AN$21,33,FALSE)</f>
        <v>0.36985267222673479</v>
      </c>
      <c r="F14">
        <f>VLOOKUP($A14,'Case-5'!$A$1:$AN$21,33,FALSE)</f>
        <v>0.35127209844363072</v>
      </c>
      <c r="G14">
        <f>VLOOKUP($A14,'Case-6'!$A$1:$AN$21,33,FALSE)</f>
        <v>0.34108775241396438</v>
      </c>
    </row>
    <row r="15" spans="1:7">
      <c r="A15" s="3">
        <v>84</v>
      </c>
      <c r="B15">
        <f>VLOOKUP($A15,'Case-1'!$A$1:$AN$21,33,FALSE)</f>
        <v>0.43218141078541011</v>
      </c>
      <c r="C15">
        <f>VLOOKUP($A15,'Case-2'!$A$1:$AN$21,33,FALSE)</f>
        <v>0.42501551242002777</v>
      </c>
      <c r="D15">
        <f>VLOOKUP($A15,'Case-3'!$A$1:$AN$21,33,FALSE)</f>
        <v>0.38957048562503582</v>
      </c>
      <c r="E15">
        <f>VLOOKUP($A15,'Case-4'!$A$1:$AN$21,33,FALSE)</f>
        <v>0.37454174899687531</v>
      </c>
      <c r="F15">
        <f>VLOOKUP($A15,'Case-5'!$A$1:$AN$21,33,FALSE)</f>
        <v>0.35314161746339928</v>
      </c>
      <c r="G15">
        <f>VLOOKUP($A15,'Case-6'!$A$1:$AN$21,33,FALSE)</f>
        <v>0.33917488082869679</v>
      </c>
    </row>
    <row r="16" spans="1:7">
      <c r="A16" s="2">
        <v>90</v>
      </c>
      <c r="B16">
        <f>VLOOKUP($A16,'Case-1'!$A$1:$AN$21,33,FALSE)</f>
        <v>0.42839059014761061</v>
      </c>
      <c r="C16">
        <f>VLOOKUP($A16,'Case-2'!$A$1:$AN$21,33,FALSE)</f>
        <v>0.41981328930492939</v>
      </c>
      <c r="D16">
        <f>VLOOKUP($A16,'Case-3'!$A$1:$AN$21,33,FALSE)</f>
        <v>0.39284639647166858</v>
      </c>
      <c r="E16">
        <f>VLOOKUP($A16,'Case-4'!$A$1:$AN$21,33,FALSE)</f>
        <v>0.3717204756286735</v>
      </c>
      <c r="F16">
        <f>VLOOKUP($A16,'Case-5'!$A$1:$AN$21,33,FALSE)</f>
        <v>0.35398013622397317</v>
      </c>
      <c r="G16">
        <f>VLOOKUP($A16,'Case-6'!$A$1:$AN$21,33,FALSE)</f>
        <v>0.3402506821412043</v>
      </c>
    </row>
    <row r="17" spans="1:7">
      <c r="A17" s="3">
        <v>96</v>
      </c>
      <c r="B17">
        <f>VLOOKUP($A17,'Case-1'!$A$1:$AN$21,33,FALSE)</f>
        <v>0.4391942679805218</v>
      </c>
      <c r="C17">
        <f>VLOOKUP($A17,'Case-2'!$A$1:$AN$21,33,FALSE)</f>
        <v>0.42461206107274219</v>
      </c>
      <c r="D17">
        <f>VLOOKUP($A17,'Case-3'!$A$1:$AN$21,33,FALSE)</f>
        <v>0.39014364232956311</v>
      </c>
      <c r="E17">
        <f>VLOOKUP($A17,'Case-4'!$A$1:$AN$21,33,FALSE)</f>
        <v>0.3697431977228578</v>
      </c>
      <c r="F17">
        <f>VLOOKUP($A17,'Case-5'!$A$1:$AN$21,33,FALSE)</f>
        <v>0.35710600480329269</v>
      </c>
      <c r="G17">
        <f>VLOOKUP($A17,'Case-6'!$A$1:$AN$21,33,FALSE)</f>
        <v>0.33960522527282228</v>
      </c>
    </row>
    <row r="18" spans="1:7">
      <c r="A18" s="2">
        <v>102</v>
      </c>
      <c r="B18">
        <f>VLOOKUP($A18,'Case-1'!$A$1:$AN$21,33,FALSE)</f>
        <v>0.43997354427059049</v>
      </c>
      <c r="C18">
        <f>VLOOKUP($A18,'Case-2'!$A$1:$AN$21,33,FALSE)</f>
        <v>0.42143425852546429</v>
      </c>
      <c r="D18">
        <f>VLOOKUP($A18,'Case-3'!$A$1:$AN$21,33,FALSE)</f>
        <v>0.39317254402869678</v>
      </c>
      <c r="E18">
        <f>VLOOKUP($A18,'Case-4'!$A$1:$AN$21,33,FALSE)</f>
        <v>0.37076830183976478</v>
      </c>
      <c r="F18">
        <f>VLOOKUP($A18,'Case-5'!$A$1:$AN$21,33,FALSE)</f>
        <v>0.35706922892391318</v>
      </c>
      <c r="G18">
        <f>VLOOKUP($A18,'Case-6'!$A$1:$AN$21,33,FALSE)</f>
        <v>0.34278532761808728</v>
      </c>
    </row>
    <row r="19" spans="1:7">
      <c r="A19" s="3">
        <v>108</v>
      </c>
      <c r="B19">
        <f>VLOOKUP($A19,'Case-1'!$A$1:$AN$21,33,FALSE)</f>
        <v>0.43954293008680662</v>
      </c>
      <c r="C19">
        <f>VLOOKUP($A19,'Case-2'!$A$1:$AN$21,33,FALSE)</f>
        <v>0.42471964949752261</v>
      </c>
      <c r="D19">
        <f>VLOOKUP($A19,'Case-3'!$A$1:$AN$21,33,FALSE)</f>
        <v>0.3884230996754211</v>
      </c>
      <c r="E19">
        <f>VLOOKUP($A19,'Case-4'!$A$1:$AN$21,33,FALSE)</f>
        <v>0.36983817606310082</v>
      </c>
      <c r="F19">
        <f>VLOOKUP($A19,'Case-5'!$A$1:$AN$21,33,FALSE)</f>
        <v>0.35417893454112143</v>
      </c>
      <c r="G19">
        <f>VLOOKUP($A19,'Case-6'!$A$1:$AN$21,33,FALSE)</f>
        <v>0.34332710601736161</v>
      </c>
    </row>
    <row r="20" spans="1:7">
      <c r="A20" s="2">
        <v>114</v>
      </c>
      <c r="B20">
        <f>VLOOKUP($A20,'Case-1'!$A$1:$AN$21,33,FALSE)</f>
        <v>0.43525285326593949</v>
      </c>
      <c r="C20">
        <f>VLOOKUP($A20,'Case-2'!$A$1:$AN$21,33,FALSE)</f>
        <v>0.42269760286800923</v>
      </c>
      <c r="D20">
        <f>VLOOKUP($A20,'Case-3'!$A$1:$AN$21,33,FALSE)</f>
        <v>0.39160718971619451</v>
      </c>
      <c r="E20">
        <f>VLOOKUP($A20,'Case-4'!$A$1:$AN$21,33,FALSE)</f>
        <v>0.36725957855470481</v>
      </c>
      <c r="F20">
        <f>VLOOKUP($A20,'Case-5'!$A$1:$AN$21,33,FALSE)</f>
        <v>0.35075276353901452</v>
      </c>
      <c r="G20">
        <f>VLOOKUP($A20,'Case-6'!$A$1:$AN$21,33,FALSE)</f>
        <v>0.33879730942671238</v>
      </c>
    </row>
    <row r="21" spans="1:7">
      <c r="A21" s="3">
        <v>120</v>
      </c>
      <c r="B21">
        <f>VLOOKUP($A21,'Case-1'!$A$1:$AN$21,33,FALSE)</f>
        <v>0.44053933130046641</v>
      </c>
      <c r="C21">
        <f>VLOOKUP($A21,'Case-2'!$A$1:$AN$21,33,FALSE)</f>
        <v>0.42581047168122188</v>
      </c>
      <c r="D21">
        <f>VLOOKUP($A21,'Case-3'!$A$1:$AN$21,33,FALSE)</f>
        <v>0.38810484666303352</v>
      </c>
      <c r="E21">
        <f>VLOOKUP($A21,'Case-4'!$A$1:$AN$21,33,FALSE)</f>
        <v>0.37172702954489723</v>
      </c>
      <c r="F21">
        <f>VLOOKUP($A21,'Case-5'!$A$1:$AN$21,33,FALSE)</f>
        <v>0.3577863835952606</v>
      </c>
      <c r="G21">
        <f>VLOOKUP($A21,'Case-6'!$A$1:$AN$21,33,FALSE)</f>
        <v>0.34249126458232931</v>
      </c>
    </row>
    <row r="22" spans="1:7">
      <c r="B22">
        <f>AVERAGE(B2:B21)</f>
        <v>0.43272331884332882</v>
      </c>
      <c r="C22">
        <f t="shared" ref="C22:G22" si="0">AVERAGE(C2:C21)</f>
        <v>0.41927071705679964</v>
      </c>
      <c r="D22">
        <f t="shared" si="0"/>
        <v>0.38629063476543835</v>
      </c>
      <c r="E22">
        <f t="shared" si="0"/>
        <v>0.36365386488426166</v>
      </c>
      <c r="F22">
        <f t="shared" si="0"/>
        <v>0.35214490221521022</v>
      </c>
      <c r="G22">
        <f t="shared" si="0"/>
        <v>0.33657116153264893</v>
      </c>
    </row>
  </sheetData>
  <phoneticPr fontId="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F662-B8AD-42EB-9626-13124F57F172}">
  <dimension ref="A1:G22"/>
  <sheetViews>
    <sheetView workbookViewId="0">
      <selection activeCell="B22" sqref="B22:G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VLOOKUP($A2,'Case-1'!$A$1:$AN$21,34,FALSE)</f>
        <v>0.1062306049795696</v>
      </c>
      <c r="C2">
        <f>VLOOKUP($A2,'Case-2'!$A$1:$AN$21,34,FALSE)</f>
        <v>0.12071434991041501</v>
      </c>
      <c r="D2">
        <f>VLOOKUP($A2,'Case-3'!$A$1:$AN$21,34,FALSE)</f>
        <v>9.4440651106359089E-2</v>
      </c>
      <c r="E2">
        <f>VLOOKUP($A2,'Case-4'!$A$1:$AN$21,34,FALSE)</f>
        <v>5.0051110790280733E-2</v>
      </c>
      <c r="F2">
        <f>VLOOKUP($A2,'Case-5'!$A$1:$AN$21,34,FALSE)</f>
        <v>9.2964818949130695E-2</v>
      </c>
      <c r="G2">
        <f>VLOOKUP($A2,'Case-6'!$A$1:$AN$21,34,FALSE)</f>
        <v>1.26819368131229E-2</v>
      </c>
    </row>
    <row r="3" spans="1:7">
      <c r="A3" s="3">
        <v>12</v>
      </c>
      <c r="B3">
        <f>VLOOKUP($A3,'Case-1'!$A$1:$AN$21,34,FALSE)</f>
        <v>6.1149333540570901E-2</v>
      </c>
      <c r="C3">
        <f>VLOOKUP($A3,'Case-2'!$A$1:$AN$21,34,FALSE)</f>
        <v>6.813430725426535E-2</v>
      </c>
      <c r="D3">
        <f>VLOOKUP($A3,'Case-3'!$A$1:$AN$21,34,FALSE)</f>
        <v>4.6043627012497729E-2</v>
      </c>
      <c r="E3">
        <f>VLOOKUP($A3,'Case-4'!$A$1:$AN$21,34,FALSE)</f>
        <v>3.3755511171950338E-2</v>
      </c>
      <c r="F3">
        <f>VLOOKUP($A3,'Case-5'!$A$1:$AN$21,34,FALSE)</f>
        <v>2.0882197335509861E-2</v>
      </c>
      <c r="G3">
        <f>VLOOKUP($A3,'Case-6'!$A$1:$AN$21,34,FALSE)</f>
        <v>8.7357715710929661E-3</v>
      </c>
    </row>
    <row r="4" spans="1:7">
      <c r="A4" s="2">
        <v>18</v>
      </c>
      <c r="B4">
        <f>VLOOKUP($A4,'Case-1'!$A$1:$AN$21,34,FALSE)</f>
        <v>5.587744281037571E-2</v>
      </c>
      <c r="C4">
        <f>VLOOKUP($A4,'Case-2'!$A$1:$AN$21,34,FALSE)</f>
        <v>5.347598078784211E-2</v>
      </c>
      <c r="D4">
        <f>VLOOKUP($A4,'Case-3'!$A$1:$AN$21,34,FALSE)</f>
        <v>4.2180550080321032E-2</v>
      </c>
      <c r="E4">
        <f>VLOOKUP($A4,'Case-4'!$A$1:$AN$21,34,FALSE)</f>
        <v>3.3029689419688632E-2</v>
      </c>
      <c r="F4">
        <f>VLOOKUP($A4,'Case-5'!$A$1:$AN$21,34,FALSE)</f>
        <v>2.236993340251367E-2</v>
      </c>
      <c r="G4">
        <f>VLOOKUP($A4,'Case-6'!$A$1:$AN$21,34,FALSE)</f>
        <v>1.364091447796412E-2</v>
      </c>
    </row>
    <row r="5" spans="1:7">
      <c r="A5" s="3">
        <v>24</v>
      </c>
      <c r="B5">
        <f>VLOOKUP($A5,'Case-1'!$A$1:$AN$21,34,FALSE)</f>
        <v>4.2505301337710931E-2</v>
      </c>
      <c r="C5">
        <f>VLOOKUP($A5,'Case-2'!$A$1:$AN$21,34,FALSE)</f>
        <v>3.7984016493689952E-2</v>
      </c>
      <c r="D5">
        <f>VLOOKUP($A5,'Case-3'!$A$1:$AN$21,34,FALSE)</f>
        <v>3.5138854010945797E-2</v>
      </c>
      <c r="E5">
        <f>VLOOKUP($A5,'Case-4'!$A$1:$AN$21,34,FALSE)</f>
        <v>3.05607384967122E-2</v>
      </c>
      <c r="F5">
        <f>VLOOKUP($A5,'Case-5'!$A$1:$AN$21,34,FALSE)</f>
        <v>1.881500284918217E-2</v>
      </c>
      <c r="G5">
        <f>VLOOKUP($A5,'Case-6'!$A$1:$AN$21,34,FALSE)</f>
        <v>9.4191606584381315E-3</v>
      </c>
    </row>
    <row r="6" spans="1:7">
      <c r="A6" s="2">
        <v>30</v>
      </c>
      <c r="B6">
        <f>VLOOKUP($A6,'Case-1'!$A$1:$AN$21,34,FALSE)</f>
        <v>4.3330410466171199E-2</v>
      </c>
      <c r="C6">
        <f>VLOOKUP($A6,'Case-2'!$A$1:$AN$21,34,FALSE)</f>
        <v>4.1067617224334052E-2</v>
      </c>
      <c r="D6">
        <f>VLOOKUP($A6,'Case-3'!$A$1:$AN$21,34,FALSE)</f>
        <v>3.228245536187261E-2</v>
      </c>
      <c r="E6">
        <f>VLOOKUP($A6,'Case-4'!$A$1:$AN$21,34,FALSE)</f>
        <v>2.473627972007619E-2</v>
      </c>
      <c r="F6">
        <f>VLOOKUP($A6,'Case-5'!$A$1:$AN$21,34,FALSE)</f>
        <v>1.9370714532026299E-2</v>
      </c>
      <c r="G6">
        <f>VLOOKUP($A6,'Case-6'!$A$1:$AN$21,34,FALSE)</f>
        <v>1.1492592676184439E-2</v>
      </c>
    </row>
    <row r="7" spans="1:7">
      <c r="A7" s="3">
        <v>36</v>
      </c>
      <c r="B7">
        <f>VLOOKUP($A7,'Case-1'!$A$1:$AN$21,34,FALSE)</f>
        <v>3.4362267105029543E-2</v>
      </c>
      <c r="C7">
        <f>VLOOKUP($A7,'Case-2'!$A$1:$AN$21,34,FALSE)</f>
        <v>3.4661736801451563E-2</v>
      </c>
      <c r="D7">
        <f>VLOOKUP($A7,'Case-3'!$A$1:$AN$21,34,FALSE)</f>
        <v>2.7908318815136009E-2</v>
      </c>
      <c r="E7">
        <f>VLOOKUP($A7,'Case-4'!$A$1:$AN$21,34,FALSE)</f>
        <v>2.3512290110902091E-2</v>
      </c>
      <c r="F7">
        <f>VLOOKUP($A7,'Case-5'!$A$1:$AN$21,34,FALSE)</f>
        <v>1.474128863103159E-2</v>
      </c>
      <c r="G7">
        <f>VLOOKUP($A7,'Case-6'!$A$1:$AN$21,34,FALSE)</f>
        <v>1.0120951391693569E-2</v>
      </c>
    </row>
    <row r="8" spans="1:7">
      <c r="A8" s="2">
        <v>42</v>
      </c>
      <c r="B8">
        <f>VLOOKUP($A8,'Case-1'!$A$1:$AN$21,34,FALSE)</f>
        <v>2.9894814381223211E-2</v>
      </c>
      <c r="C8">
        <f>VLOOKUP($A8,'Case-2'!$A$1:$AN$21,34,FALSE)</f>
        <v>3.1828138397042953E-2</v>
      </c>
      <c r="D8">
        <f>VLOOKUP($A8,'Case-3'!$A$1:$AN$21,34,FALSE)</f>
        <v>2.4809631091615481E-2</v>
      </c>
      <c r="E8">
        <f>VLOOKUP($A8,'Case-4'!$A$1:$AN$21,34,FALSE)</f>
        <v>2.1670148960361992E-2</v>
      </c>
      <c r="F8">
        <f>VLOOKUP($A8,'Case-5'!$A$1:$AN$21,34,FALSE)</f>
        <v>1.6399660465684082E-2</v>
      </c>
      <c r="G8">
        <f>VLOOKUP($A8,'Case-6'!$A$1:$AN$21,34,FALSE)</f>
        <v>8.7447490837972933E-3</v>
      </c>
    </row>
    <row r="9" spans="1:7">
      <c r="A9" s="3">
        <v>48</v>
      </c>
      <c r="B9">
        <f>VLOOKUP($A9,'Case-1'!$A$1:$AN$21,34,FALSE)</f>
        <v>3.2743969447904239E-2</v>
      </c>
      <c r="C9">
        <f>VLOOKUP($A9,'Case-2'!$A$1:$AN$21,34,FALSE)</f>
        <v>3.3649285828756897E-2</v>
      </c>
      <c r="D9">
        <f>VLOOKUP($A9,'Case-3'!$A$1:$AN$21,34,FALSE)</f>
        <v>3.0309016704801121E-2</v>
      </c>
      <c r="E9">
        <f>VLOOKUP($A9,'Case-4'!$A$1:$AN$21,34,FALSE)</f>
        <v>2.1547474734532671E-2</v>
      </c>
      <c r="F9">
        <f>VLOOKUP($A9,'Case-5'!$A$1:$AN$21,34,FALSE)</f>
        <v>1.5907469968390028E-2</v>
      </c>
      <c r="G9">
        <f>VLOOKUP($A9,'Case-6'!$A$1:$AN$21,34,FALSE)</f>
        <v>9.8846868690598364E-3</v>
      </c>
    </row>
    <row r="10" spans="1:7">
      <c r="A10" s="2">
        <v>54</v>
      </c>
      <c r="B10">
        <f>VLOOKUP($A10,'Case-1'!$A$1:$AN$21,34,FALSE)</f>
        <v>3.3241750133590063E-2</v>
      </c>
      <c r="C10">
        <f>VLOOKUP($A10,'Case-2'!$A$1:$AN$21,34,FALSE)</f>
        <v>3.0580590090544729E-2</v>
      </c>
      <c r="D10">
        <f>VLOOKUP($A10,'Case-3'!$A$1:$AN$21,34,FALSE)</f>
        <v>2.5132854498011191E-2</v>
      </c>
      <c r="E10">
        <f>VLOOKUP($A10,'Case-4'!$A$1:$AN$21,34,FALSE)</f>
        <v>1.827013643015446E-2</v>
      </c>
      <c r="F10">
        <f>VLOOKUP($A10,'Case-5'!$A$1:$AN$21,34,FALSE)</f>
        <v>1.4458874237522359E-2</v>
      </c>
      <c r="G10">
        <f>VLOOKUP($A10,'Case-6'!$A$1:$AN$21,34,FALSE)</f>
        <v>1.0312975666366171E-2</v>
      </c>
    </row>
    <row r="11" spans="1:7">
      <c r="A11" s="3">
        <v>60</v>
      </c>
      <c r="B11">
        <f>VLOOKUP($A11,'Case-1'!$A$1:$AN$21,34,FALSE)</f>
        <v>3.4119790079117432E-2</v>
      </c>
      <c r="C11">
        <f>VLOOKUP($A11,'Case-2'!$A$1:$AN$21,34,FALSE)</f>
        <v>3.1717486408312859E-2</v>
      </c>
      <c r="D11">
        <f>VLOOKUP($A11,'Case-3'!$A$1:$AN$21,34,FALSE)</f>
        <v>2.3920877919431909E-2</v>
      </c>
      <c r="E11">
        <f>VLOOKUP($A11,'Case-4'!$A$1:$AN$21,34,FALSE)</f>
        <v>1.7678855019551049E-2</v>
      </c>
      <c r="F11">
        <f>VLOOKUP($A11,'Case-5'!$A$1:$AN$21,34,FALSE)</f>
        <v>1.391400241647117E-2</v>
      </c>
      <c r="G11">
        <f>VLOOKUP($A11,'Case-6'!$A$1:$AN$21,34,FALSE)</f>
        <v>7.6618392425728257E-3</v>
      </c>
    </row>
    <row r="12" spans="1:7">
      <c r="A12" s="2">
        <v>66</v>
      </c>
      <c r="B12">
        <f>VLOOKUP($A12,'Case-1'!$A$1:$AN$21,34,FALSE)</f>
        <v>2.7147388299559261E-2</v>
      </c>
      <c r="C12">
        <f>VLOOKUP($A12,'Case-2'!$A$1:$AN$21,34,FALSE)</f>
        <v>3.2681272293633587E-2</v>
      </c>
      <c r="D12">
        <f>VLOOKUP($A12,'Case-3'!$A$1:$AN$21,34,FALSE)</f>
        <v>2.455329247776317E-2</v>
      </c>
      <c r="E12">
        <f>VLOOKUP($A12,'Case-4'!$A$1:$AN$21,34,FALSE)</f>
        <v>2.049626545839019E-2</v>
      </c>
      <c r="F12">
        <f>VLOOKUP($A12,'Case-5'!$A$1:$AN$21,34,FALSE)</f>
        <v>1.485337123874461E-2</v>
      </c>
      <c r="G12">
        <f>VLOOKUP($A12,'Case-6'!$A$1:$AN$21,34,FALSE)</f>
        <v>9.3500929639012773E-3</v>
      </c>
    </row>
    <row r="13" spans="1:7">
      <c r="A13" s="3">
        <v>72</v>
      </c>
      <c r="B13">
        <f>VLOOKUP($A13,'Case-1'!$A$1:$AN$21,34,FALSE)</f>
        <v>2.7753506238575729E-2</v>
      </c>
      <c r="C13">
        <f>VLOOKUP($A13,'Case-2'!$A$1:$AN$21,34,FALSE)</f>
        <v>3.0888339034250169E-2</v>
      </c>
      <c r="D13">
        <f>VLOOKUP($A13,'Case-3'!$A$1:$AN$21,34,FALSE)</f>
        <v>2.34033765736411E-2</v>
      </c>
      <c r="E13">
        <f>VLOOKUP($A13,'Case-4'!$A$1:$AN$21,34,FALSE)</f>
        <v>1.938205276759173E-2</v>
      </c>
      <c r="F13">
        <f>VLOOKUP($A13,'Case-5'!$A$1:$AN$21,34,FALSE)</f>
        <v>1.4260671793498729E-2</v>
      </c>
      <c r="G13">
        <f>VLOOKUP($A13,'Case-6'!$A$1:$AN$21,34,FALSE)</f>
        <v>7.6708610935181387E-3</v>
      </c>
    </row>
    <row r="14" spans="1:7">
      <c r="A14" s="2">
        <v>78</v>
      </c>
      <c r="B14">
        <f>VLOOKUP($A14,'Case-1'!$A$1:$AN$21,34,FALSE)</f>
        <v>2.8187270238660661E-2</v>
      </c>
      <c r="C14">
        <f>VLOOKUP($A14,'Case-2'!$A$1:$AN$21,34,FALSE)</f>
        <v>3.0802887909493641E-2</v>
      </c>
      <c r="D14">
        <f>VLOOKUP($A14,'Case-3'!$A$1:$AN$21,34,FALSE)</f>
        <v>2.210487884458015E-2</v>
      </c>
      <c r="E14">
        <f>VLOOKUP($A14,'Case-4'!$A$1:$AN$21,34,FALSE)</f>
        <v>2.001653009748379E-2</v>
      </c>
      <c r="F14">
        <f>VLOOKUP($A14,'Case-5'!$A$1:$AN$21,34,FALSE)</f>
        <v>1.330617810483372E-2</v>
      </c>
      <c r="G14">
        <f>VLOOKUP($A14,'Case-6'!$A$1:$AN$21,34,FALSE)</f>
        <v>9.1073778567174711E-3</v>
      </c>
    </row>
    <row r="15" spans="1:7">
      <c r="A15" s="3">
        <v>84</v>
      </c>
      <c r="B15">
        <f>VLOOKUP($A15,'Case-1'!$A$1:$AN$21,34,FALSE)</f>
        <v>2.881342162531338E-2</v>
      </c>
      <c r="C15">
        <f>VLOOKUP($A15,'Case-2'!$A$1:$AN$21,34,FALSE)</f>
        <v>2.771085799363629E-2</v>
      </c>
      <c r="D15">
        <f>VLOOKUP($A15,'Case-3'!$A$1:$AN$21,34,FALSE)</f>
        <v>2.2301626902679849E-2</v>
      </c>
      <c r="E15">
        <f>VLOOKUP($A15,'Case-4'!$A$1:$AN$21,34,FALSE)</f>
        <v>1.845980082529633E-2</v>
      </c>
      <c r="F15">
        <f>VLOOKUP($A15,'Case-5'!$A$1:$AN$21,34,FALSE)</f>
        <v>1.470891643479239E-2</v>
      </c>
      <c r="G15">
        <f>VLOOKUP($A15,'Case-6'!$A$1:$AN$21,34,FALSE)</f>
        <v>8.0504376626620855E-3</v>
      </c>
    </row>
    <row r="16" spans="1:7">
      <c r="A16" s="2">
        <v>90</v>
      </c>
      <c r="B16">
        <f>VLOOKUP($A16,'Case-1'!$A$1:$AN$21,34,FALSE)</f>
        <v>2.9138305775847952E-2</v>
      </c>
      <c r="C16">
        <f>VLOOKUP($A16,'Case-2'!$A$1:$AN$21,34,FALSE)</f>
        <v>2.8166743402747701E-2</v>
      </c>
      <c r="D16">
        <f>VLOOKUP($A16,'Case-3'!$A$1:$AN$21,34,FALSE)</f>
        <v>2.5346227884717139E-2</v>
      </c>
      <c r="E16">
        <f>VLOOKUP($A16,'Case-4'!$A$1:$AN$21,34,FALSE)</f>
        <v>1.7643156989749938E-2</v>
      </c>
      <c r="F16">
        <f>VLOOKUP($A16,'Case-5'!$A$1:$AN$21,34,FALSE)</f>
        <v>1.27713751706196E-2</v>
      </c>
      <c r="G16">
        <f>VLOOKUP($A16,'Case-6'!$A$1:$AN$21,34,FALSE)</f>
        <v>7.3013727297518973E-3</v>
      </c>
    </row>
    <row r="17" spans="1:7">
      <c r="A17" s="3">
        <v>96</v>
      </c>
      <c r="B17">
        <f>VLOOKUP($A17,'Case-1'!$A$1:$AN$21,34,FALSE)</f>
        <v>2.207586800420706E-2</v>
      </c>
      <c r="C17">
        <f>VLOOKUP($A17,'Case-2'!$A$1:$AN$21,34,FALSE)</f>
        <v>2.634908443124637E-2</v>
      </c>
      <c r="D17">
        <f>VLOOKUP($A17,'Case-3'!$A$1:$AN$21,34,FALSE)</f>
        <v>2.2789731392782141E-2</v>
      </c>
      <c r="E17">
        <f>VLOOKUP($A17,'Case-4'!$A$1:$AN$21,34,FALSE)</f>
        <v>1.4938340576537101E-2</v>
      </c>
      <c r="F17">
        <f>VLOOKUP($A17,'Case-5'!$A$1:$AN$21,34,FALSE)</f>
        <v>1.7086645750167741E-2</v>
      </c>
      <c r="G17">
        <f>VLOOKUP($A17,'Case-6'!$A$1:$AN$21,34,FALSE)</f>
        <v>6.7597688018735027E-3</v>
      </c>
    </row>
    <row r="18" spans="1:7">
      <c r="A18" s="2">
        <v>102</v>
      </c>
      <c r="B18">
        <f>VLOOKUP($A18,'Case-1'!$A$1:$AN$21,34,FALSE)</f>
        <v>2.618436731949068E-2</v>
      </c>
      <c r="C18">
        <f>VLOOKUP($A18,'Case-2'!$A$1:$AN$21,34,FALSE)</f>
        <v>2.523361714967718E-2</v>
      </c>
      <c r="D18">
        <f>VLOOKUP($A18,'Case-3'!$A$1:$AN$21,34,FALSE)</f>
        <v>2.4664322549061E-2</v>
      </c>
      <c r="E18">
        <f>VLOOKUP($A18,'Case-4'!$A$1:$AN$21,34,FALSE)</f>
        <v>1.6064470445617259E-2</v>
      </c>
      <c r="F18">
        <f>VLOOKUP($A18,'Case-5'!$A$1:$AN$21,34,FALSE)</f>
        <v>1.5157103816730961E-2</v>
      </c>
      <c r="G18">
        <f>VLOOKUP($A18,'Case-6'!$A$1:$AN$21,34,FALSE)</f>
        <v>8.8256184174296225E-3</v>
      </c>
    </row>
    <row r="19" spans="1:7">
      <c r="A19" s="3">
        <v>108</v>
      </c>
      <c r="B19">
        <f>VLOOKUP($A19,'Case-1'!$A$1:$AN$21,34,FALSE)</f>
        <v>2.7135633104355562E-2</v>
      </c>
      <c r="C19">
        <f>VLOOKUP($A19,'Case-2'!$A$1:$AN$21,34,FALSE)</f>
        <v>2.7177096761586961E-2</v>
      </c>
      <c r="D19">
        <f>VLOOKUP($A19,'Case-3'!$A$1:$AN$21,34,FALSE)</f>
        <v>2.2482922741054411E-2</v>
      </c>
      <c r="E19">
        <f>VLOOKUP($A19,'Case-4'!$A$1:$AN$21,34,FALSE)</f>
        <v>1.7609062530595979E-2</v>
      </c>
      <c r="F19">
        <f>VLOOKUP($A19,'Case-5'!$A$1:$AN$21,34,FALSE)</f>
        <v>1.124890699253457E-2</v>
      </c>
      <c r="G19">
        <f>VLOOKUP($A19,'Case-6'!$A$1:$AN$21,34,FALSE)</f>
        <v>8.0349089852885889E-3</v>
      </c>
    </row>
    <row r="20" spans="1:7">
      <c r="A20" s="2">
        <v>114</v>
      </c>
      <c r="B20">
        <f>VLOOKUP($A20,'Case-1'!$A$1:$AN$21,34,FALSE)</f>
        <v>2.6517744450066182E-2</v>
      </c>
      <c r="C20">
        <f>VLOOKUP($A20,'Case-2'!$A$1:$AN$21,34,FALSE)</f>
        <v>2.6003023958181971E-2</v>
      </c>
      <c r="D20">
        <f>VLOOKUP($A20,'Case-3'!$A$1:$AN$21,34,FALSE)</f>
        <v>2.2359945519283841E-2</v>
      </c>
      <c r="E20">
        <f>VLOOKUP($A20,'Case-4'!$A$1:$AN$21,34,FALSE)</f>
        <v>1.7576814623356869E-2</v>
      </c>
      <c r="F20">
        <f>VLOOKUP($A20,'Case-5'!$A$1:$AN$21,34,FALSE)</f>
        <v>7.7433868590325314E-3</v>
      </c>
      <c r="G20">
        <f>VLOOKUP($A20,'Case-6'!$A$1:$AN$21,34,FALSE)</f>
        <v>6.9388282944139986E-3</v>
      </c>
    </row>
    <row r="21" spans="1:7">
      <c r="A21" s="3">
        <v>120</v>
      </c>
      <c r="B21">
        <f>VLOOKUP($A21,'Case-1'!$A$1:$AN$21,34,FALSE)</f>
        <v>2.425310203562802E-2</v>
      </c>
      <c r="C21">
        <f>VLOOKUP($A21,'Case-2'!$A$1:$AN$21,34,FALSE)</f>
        <v>3.1543291573527033E-2</v>
      </c>
      <c r="D21">
        <f>VLOOKUP($A21,'Case-3'!$A$1:$AN$21,34,FALSE)</f>
        <v>1.9732296135630972E-2</v>
      </c>
      <c r="E21">
        <f>VLOOKUP($A21,'Case-4'!$A$1:$AN$21,34,FALSE)</f>
        <v>1.901302097814879E-2</v>
      </c>
      <c r="F21">
        <f>VLOOKUP($A21,'Case-5'!$A$1:$AN$21,34,FALSE)</f>
        <v>1.2931699938889979E-2</v>
      </c>
      <c r="G21">
        <f>VLOOKUP($A21,'Case-6'!$A$1:$AN$21,34,FALSE)</f>
        <v>6.9852139213592672E-3</v>
      </c>
    </row>
    <row r="22" spans="1:7">
      <c r="B22">
        <f>AVERAGE(B2:B21)</f>
        <v>3.7033114568648363E-2</v>
      </c>
      <c r="C22">
        <f t="shared" ref="C22:G22" si="0">AVERAGE(C2:C21)</f>
        <v>3.8518486185231814E-2</v>
      </c>
      <c r="D22">
        <f t="shared" si="0"/>
        <v>3.0595272881109296E-2</v>
      </c>
      <c r="E22">
        <f t="shared" si="0"/>
        <v>2.2800587507348914E-2</v>
      </c>
      <c r="F22">
        <f t="shared" si="0"/>
        <v>1.919461094436533E-2</v>
      </c>
      <c r="G22">
        <f t="shared" si="0"/>
        <v>9.086002958860407E-3</v>
      </c>
    </row>
  </sheetData>
  <phoneticPr fontId="2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90E5-B501-4C77-B602-97CEA253EF30}">
  <dimension ref="A1:G21"/>
  <sheetViews>
    <sheetView workbookViewId="0">
      <selection activeCell="B1" sqref="B1:G1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VLOOKUP($A2,'Case-1'!$A$1:$AN$21,35,FALSE)</f>
        <v>6.7409914697799667E-2</v>
      </c>
      <c r="C2">
        <f>VLOOKUP($A2,'Case-2'!$A$1:$AN$21,35,FALSE)</f>
        <v>7.0667639918663192E-2</v>
      </c>
      <c r="D2">
        <f>VLOOKUP($A2,'Case-3'!$A$1:$AN$21,35,FALSE)</f>
        <v>0.1637494767455264</v>
      </c>
      <c r="E2">
        <f>VLOOKUP($A2,'Case-4'!$A$1:$AN$21,35,FALSE)</f>
        <v>0.20045612403100771</v>
      </c>
      <c r="F2">
        <f>VLOOKUP($A2,'Case-5'!$A$1:$AN$21,35,FALSE)</f>
        <v>0.13192776240211429</v>
      </c>
      <c r="G2">
        <f>VLOOKUP($A2,'Case-6'!$A$1:$AN$21,35,FALSE)</f>
        <v>0.5</v>
      </c>
    </row>
    <row r="3" spans="1:7">
      <c r="A3" s="3">
        <v>12</v>
      </c>
      <c r="B3">
        <f>VLOOKUP($A3,'Case-1'!$A$1:$AN$21,35,FALSE)</f>
        <v>7.0993081027883792E-2</v>
      </c>
      <c r="C3">
        <f>VLOOKUP($A3,'Case-2'!$A$1:$AN$21,35,FALSE)</f>
        <v>6.636640007126858E-2</v>
      </c>
      <c r="D3">
        <f>VLOOKUP($A3,'Case-3'!$A$1:$AN$21,35,FALSE)</f>
        <v>0.11116740651886629</v>
      </c>
      <c r="E3">
        <f>VLOOKUP($A3,'Case-4'!$A$1:$AN$21,35,FALSE)</f>
        <v>0.17201902802654651</v>
      </c>
      <c r="F3">
        <f>VLOOKUP($A3,'Case-5'!$A$1:$AN$21,35,FALSE)</f>
        <v>0.29759441269841269</v>
      </c>
      <c r="G3">
        <f>VLOOKUP($A3,'Case-6'!$A$1:$AN$21,35,FALSE)</f>
        <v>0.5</v>
      </c>
    </row>
    <row r="4" spans="1:7">
      <c r="A4" s="2">
        <v>18</v>
      </c>
      <c r="B4">
        <f>VLOOKUP($A4,'Case-1'!$A$1:$AN$21,35,FALSE)</f>
        <v>6.4806481434327032E-2</v>
      </c>
      <c r="C4">
        <f>VLOOKUP($A4,'Case-2'!$A$1:$AN$21,35,FALSE)</f>
        <v>8.0143479099134871E-2</v>
      </c>
      <c r="D4">
        <f>VLOOKUP($A4,'Case-3'!$A$1:$AN$21,35,FALSE)</f>
        <v>0.1321044665451156</v>
      </c>
      <c r="E4">
        <f>VLOOKUP($A4,'Case-4'!$A$1:$AN$21,35,FALSE)</f>
        <v>0.17853751936481049</v>
      </c>
      <c r="F4">
        <f>VLOOKUP($A4,'Case-5'!$A$1:$AN$21,35,FALSE)</f>
        <v>0.26013280089028917</v>
      </c>
      <c r="G4">
        <f>VLOOKUP($A4,'Case-6'!$A$1:$AN$21,35,FALSE)</f>
        <v>0.39744481927710829</v>
      </c>
    </row>
    <row r="5" spans="1:7">
      <c r="A5" s="3">
        <v>24</v>
      </c>
      <c r="B5">
        <f>VLOOKUP($A5,'Case-1'!$A$1:$AN$21,35,FALSE)</f>
        <v>7.228935707974056E-2</v>
      </c>
      <c r="C5">
        <f>VLOOKUP($A5,'Case-2'!$A$1:$AN$21,35,FALSE)</f>
        <v>7.6796071290903697E-2</v>
      </c>
      <c r="D5">
        <f>VLOOKUP($A5,'Case-3'!$A$1:$AN$21,35,FALSE)</f>
        <v>0.1245152057715721</v>
      </c>
      <c r="E5">
        <f>VLOOKUP($A5,'Case-4'!$A$1:$AN$21,35,FALSE)</f>
        <v>0.18431280125402799</v>
      </c>
      <c r="F5">
        <f>VLOOKUP($A5,'Case-5'!$A$1:$AN$21,35,FALSE)</f>
        <v>0.26243370618082579</v>
      </c>
      <c r="G5">
        <f>VLOOKUP($A5,'Case-6'!$A$1:$AN$21,35,FALSE)</f>
        <v>0.42604647249190941</v>
      </c>
    </row>
    <row r="6" spans="1:7">
      <c r="A6" s="2">
        <v>30</v>
      </c>
      <c r="B6">
        <f>VLOOKUP($A6,'Case-1'!$A$1:$AN$21,35,FALSE)</f>
        <v>7.1181185025094129E-2</v>
      </c>
      <c r="C6">
        <f>VLOOKUP($A6,'Case-2'!$A$1:$AN$21,35,FALSE)</f>
        <v>7.9703425309316234E-2</v>
      </c>
      <c r="D6">
        <f>VLOOKUP($A6,'Case-3'!$A$1:$AN$21,35,FALSE)</f>
        <v>0.12861124886841371</v>
      </c>
      <c r="E6">
        <f>VLOOKUP($A6,'Case-4'!$A$1:$AN$21,35,FALSE)</f>
        <v>0.1877630536587912</v>
      </c>
      <c r="F6">
        <f>VLOOKUP($A6,'Case-5'!$A$1:$AN$21,35,FALSE)</f>
        <v>0.25666249646961747</v>
      </c>
      <c r="G6">
        <f>VLOOKUP($A6,'Case-6'!$A$1:$AN$21,35,FALSE)</f>
        <v>0.37069766131053677</v>
      </c>
    </row>
    <row r="7" spans="1:7">
      <c r="A7" s="3">
        <v>36</v>
      </c>
      <c r="B7">
        <f>VLOOKUP($A7,'Case-1'!$A$1:$AN$21,35,FALSE)</f>
        <v>7.3809614439384982E-2</v>
      </c>
      <c r="C7">
        <f>VLOOKUP($A7,'Case-2'!$A$1:$AN$21,35,FALSE)</f>
        <v>8.2511408356140112E-2</v>
      </c>
      <c r="D7">
        <f>VLOOKUP($A7,'Case-3'!$A$1:$AN$21,35,FALSE)</f>
        <v>0.1204621912593879</v>
      </c>
      <c r="E7">
        <f>VLOOKUP($A7,'Case-4'!$A$1:$AN$21,35,FALSE)</f>
        <v>0.18036174790920531</v>
      </c>
      <c r="F7">
        <f>VLOOKUP($A7,'Case-5'!$A$1:$AN$21,35,FALSE)</f>
        <v>0.25364376066253269</v>
      </c>
      <c r="G7">
        <f>VLOOKUP($A7,'Case-6'!$A$1:$AN$21,35,FALSE)</f>
        <v>0.38935227744536749</v>
      </c>
    </row>
    <row r="8" spans="1:7">
      <c r="A8" s="2">
        <v>42</v>
      </c>
      <c r="B8">
        <f>VLOOKUP($A8,'Case-1'!$A$1:$AN$21,35,FALSE)</f>
        <v>7.5731794950709516E-2</v>
      </c>
      <c r="C8">
        <f>VLOOKUP($A8,'Case-2'!$A$1:$AN$21,35,FALSE)</f>
        <v>7.9824632733992248E-2</v>
      </c>
      <c r="D8">
        <f>VLOOKUP($A8,'Case-3'!$A$1:$AN$21,35,FALSE)</f>
        <v>0.12847513443000069</v>
      </c>
      <c r="E8">
        <f>VLOOKUP($A8,'Case-4'!$A$1:$AN$21,35,FALSE)</f>
        <v>0.17448385913779141</v>
      </c>
      <c r="F8">
        <f>VLOOKUP($A8,'Case-5'!$A$1:$AN$21,35,FALSE)</f>
        <v>0.25590490731653193</v>
      </c>
      <c r="G8">
        <f>VLOOKUP($A8,'Case-6'!$A$1:$AN$21,35,FALSE)</f>
        <v>0.3930191368022708</v>
      </c>
    </row>
    <row r="9" spans="1:7">
      <c r="A9" s="3">
        <v>48</v>
      </c>
      <c r="B9">
        <f>VLOOKUP($A9,'Case-1'!$A$1:$AN$21,35,FALSE)</f>
        <v>7.0936867146323912E-2</v>
      </c>
      <c r="C9">
        <f>VLOOKUP($A9,'Case-2'!$A$1:$AN$21,35,FALSE)</f>
        <v>8.3870189982289026E-2</v>
      </c>
      <c r="D9">
        <f>VLOOKUP($A9,'Case-3'!$A$1:$AN$21,35,FALSE)</f>
        <v>0.12694882923768899</v>
      </c>
      <c r="E9">
        <f>VLOOKUP($A9,'Case-4'!$A$1:$AN$21,35,FALSE)</f>
        <v>0.1768563287257803</v>
      </c>
      <c r="F9">
        <f>VLOOKUP($A9,'Case-5'!$A$1:$AN$21,35,FALSE)</f>
        <v>0.25973402670619122</v>
      </c>
      <c r="G9">
        <f>VLOOKUP($A9,'Case-6'!$A$1:$AN$21,35,FALSE)</f>
        <v>0.36200427399961738</v>
      </c>
    </row>
    <row r="10" spans="1:7">
      <c r="A10" s="2">
        <v>54</v>
      </c>
      <c r="B10">
        <f>VLOOKUP($A10,'Case-1'!$A$1:$AN$21,35,FALSE)</f>
        <v>7.1774546257961105E-2</v>
      </c>
      <c r="C10">
        <f>VLOOKUP($A10,'Case-2'!$A$1:$AN$21,35,FALSE)</f>
        <v>7.6961099774236999E-2</v>
      </c>
      <c r="D10">
        <f>VLOOKUP($A10,'Case-3'!$A$1:$AN$21,35,FALSE)</f>
        <v>0.1244276761258654</v>
      </c>
      <c r="E10">
        <f>VLOOKUP($A10,'Case-4'!$A$1:$AN$21,35,FALSE)</f>
        <v>0.17624933976367019</v>
      </c>
      <c r="F10">
        <f>VLOOKUP($A10,'Case-5'!$A$1:$AN$21,35,FALSE)</f>
        <v>0.25764148571246581</v>
      </c>
      <c r="G10">
        <f>VLOOKUP($A10,'Case-6'!$A$1:$AN$21,35,FALSE)</f>
        <v>0.3864070194153516</v>
      </c>
    </row>
    <row r="11" spans="1:7">
      <c r="A11" s="3">
        <v>60</v>
      </c>
      <c r="B11">
        <f>VLOOKUP($A11,'Case-1'!$A$1:$AN$21,35,FALSE)</f>
        <v>7.0244058936244733E-2</v>
      </c>
      <c r="C11">
        <f>VLOOKUP($A11,'Case-2'!$A$1:$AN$21,35,FALSE)</f>
        <v>8.5544488760966306E-2</v>
      </c>
      <c r="D11">
        <f>VLOOKUP($A11,'Case-3'!$A$1:$AN$21,35,FALSE)</f>
        <v>0.12641064880907549</v>
      </c>
      <c r="E11">
        <f>VLOOKUP($A11,'Case-4'!$A$1:$AN$21,35,FALSE)</f>
        <v>0.18113163735468821</v>
      </c>
      <c r="F11">
        <f>VLOOKUP($A11,'Case-5'!$A$1:$AN$21,35,FALSE)</f>
        <v>0.26010588533670442</v>
      </c>
      <c r="G11">
        <f>VLOOKUP($A11,'Case-6'!$A$1:$AN$21,35,FALSE)</f>
        <v>0.35720675175428618</v>
      </c>
    </row>
    <row r="12" spans="1:7">
      <c r="A12" s="2">
        <v>66</v>
      </c>
      <c r="B12">
        <f>VLOOKUP($A12,'Case-1'!$A$1:$AN$21,35,FALSE)</f>
        <v>7.3754709746664149E-2</v>
      </c>
      <c r="C12">
        <f>VLOOKUP($A12,'Case-2'!$A$1:$AN$21,35,FALSE)</f>
        <v>8.4324693996508271E-2</v>
      </c>
      <c r="D12">
        <f>VLOOKUP($A12,'Case-3'!$A$1:$AN$21,35,FALSE)</f>
        <v>0.12817685984972441</v>
      </c>
      <c r="E12">
        <f>VLOOKUP($A12,'Case-4'!$A$1:$AN$21,35,FALSE)</f>
        <v>0.1810103178010122</v>
      </c>
      <c r="F12">
        <f>VLOOKUP($A12,'Case-5'!$A$1:$AN$21,35,FALSE)</f>
        <v>0.25637119114830081</v>
      </c>
      <c r="G12">
        <f>VLOOKUP($A12,'Case-6'!$A$1:$AN$21,35,FALSE)</f>
        <v>0.36670402365641841</v>
      </c>
    </row>
    <row r="13" spans="1:7">
      <c r="A13" s="3">
        <v>72</v>
      </c>
      <c r="B13">
        <f>VLOOKUP($A13,'Case-1'!$A$1:$AN$21,35,FALSE)</f>
        <v>7.0983074303075419E-2</v>
      </c>
      <c r="C13">
        <f>VLOOKUP($A13,'Case-2'!$A$1:$AN$21,35,FALSE)</f>
        <v>8.3420310637614514E-2</v>
      </c>
      <c r="D13">
        <f>VLOOKUP($A13,'Case-3'!$A$1:$AN$21,35,FALSE)</f>
        <v>0.12667721600283849</v>
      </c>
      <c r="E13">
        <f>VLOOKUP($A13,'Case-4'!$A$1:$AN$21,35,FALSE)</f>
        <v>0.18452432448361991</v>
      </c>
      <c r="F13">
        <f>VLOOKUP($A13,'Case-5'!$A$1:$AN$21,35,FALSE)</f>
        <v>0.25869260312941211</v>
      </c>
      <c r="G13">
        <f>VLOOKUP($A13,'Case-6'!$A$1:$AN$21,35,FALSE)</f>
        <v>0.36551431669083528</v>
      </c>
    </row>
    <row r="14" spans="1:7">
      <c r="A14" s="2">
        <v>78</v>
      </c>
      <c r="B14">
        <f>VLOOKUP($A14,'Case-1'!$A$1:$AN$21,35,FALSE)</f>
        <v>7.2650823919041596E-2</v>
      </c>
      <c r="C14">
        <f>VLOOKUP($A14,'Case-2'!$A$1:$AN$21,35,FALSE)</f>
        <v>8.1879473160293578E-2</v>
      </c>
      <c r="D14">
        <f>VLOOKUP($A14,'Case-3'!$A$1:$AN$21,35,FALSE)</f>
        <v>0.13111804682338191</v>
      </c>
      <c r="E14">
        <f>VLOOKUP($A14,'Case-4'!$A$1:$AN$21,35,FALSE)</f>
        <v>0.1821473166116086</v>
      </c>
      <c r="F14">
        <f>VLOOKUP($A14,'Case-5'!$A$1:$AN$21,35,FALSE)</f>
        <v>0.25164530907382171</v>
      </c>
      <c r="G14">
        <f>VLOOKUP($A14,'Case-6'!$A$1:$AN$21,35,FALSE)</f>
        <v>0.35166225389117489</v>
      </c>
    </row>
    <row r="15" spans="1:7">
      <c r="A15" s="3">
        <v>84</v>
      </c>
      <c r="B15">
        <f>VLOOKUP($A15,'Case-1'!$A$1:$AN$21,35,FALSE)</f>
        <v>6.8596280408837446E-2</v>
      </c>
      <c r="C15">
        <f>VLOOKUP($A15,'Case-2'!$A$1:$AN$21,35,FALSE)</f>
        <v>8.7212316160723224E-2</v>
      </c>
      <c r="D15">
        <f>VLOOKUP($A15,'Case-3'!$A$1:$AN$21,35,FALSE)</f>
        <v>0.1212564822230998</v>
      </c>
      <c r="E15">
        <f>VLOOKUP($A15,'Case-4'!$A$1:$AN$21,35,FALSE)</f>
        <v>0.17831539033533231</v>
      </c>
      <c r="F15">
        <f>VLOOKUP($A15,'Case-5'!$A$1:$AN$21,35,FALSE)</f>
        <v>0.25292632328846848</v>
      </c>
      <c r="G15">
        <f>VLOOKUP($A15,'Case-6'!$A$1:$AN$21,35,FALSE)</f>
        <v>0.37052647702196362</v>
      </c>
    </row>
    <row r="16" spans="1:7">
      <c r="A16" s="2">
        <v>90</v>
      </c>
      <c r="B16">
        <f>VLOOKUP($A16,'Case-1'!$A$1:$AN$21,35,FALSE)</f>
        <v>7.3342676146037095E-2</v>
      </c>
      <c r="C16">
        <f>VLOOKUP($A16,'Case-2'!$A$1:$AN$21,35,FALSE)</f>
        <v>7.6517402204141924E-2</v>
      </c>
      <c r="D16">
        <f>VLOOKUP($A16,'Case-3'!$A$1:$AN$21,35,FALSE)</f>
        <v>0.1225464577972416</v>
      </c>
      <c r="E16">
        <f>VLOOKUP($A16,'Case-4'!$A$1:$AN$21,35,FALSE)</f>
        <v>0.1765600796528474</v>
      </c>
      <c r="F16">
        <f>VLOOKUP($A16,'Case-5'!$A$1:$AN$21,35,FALSE)</f>
        <v>0.25602778443510948</v>
      </c>
      <c r="G16">
        <f>VLOOKUP($A16,'Case-6'!$A$1:$AN$21,35,FALSE)</f>
        <v>0.35519323577184958</v>
      </c>
    </row>
    <row r="17" spans="1:7">
      <c r="A17" s="3">
        <v>96</v>
      </c>
      <c r="B17">
        <f>VLOOKUP($A17,'Case-1'!$A$1:$AN$21,35,FALSE)</f>
        <v>7.3013858297649045E-2</v>
      </c>
      <c r="C17">
        <f>VLOOKUP($A17,'Case-2'!$A$1:$AN$21,35,FALSE)</f>
        <v>7.8920265564069822E-2</v>
      </c>
      <c r="D17">
        <f>VLOOKUP($A17,'Case-3'!$A$1:$AN$21,35,FALSE)</f>
        <v>0.1230881858089572</v>
      </c>
      <c r="E17">
        <f>VLOOKUP($A17,'Case-4'!$A$1:$AN$21,35,FALSE)</f>
        <v>0.18680978233000509</v>
      </c>
      <c r="F17">
        <f>VLOOKUP($A17,'Case-5'!$A$1:$AN$21,35,FALSE)</f>
        <v>0.26295577886745569</v>
      </c>
      <c r="G17">
        <f>VLOOKUP($A17,'Case-6'!$A$1:$AN$21,35,FALSE)</f>
        <v>0.36434864434665909</v>
      </c>
    </row>
    <row r="18" spans="1:7">
      <c r="A18" s="2">
        <v>102</v>
      </c>
      <c r="B18">
        <f>VLOOKUP($A18,'Case-1'!$A$1:$AN$21,35,FALSE)</f>
        <v>7.1475407640449767E-2</v>
      </c>
      <c r="C18">
        <f>VLOOKUP($A18,'Case-2'!$A$1:$AN$21,35,FALSE)</f>
        <v>8.0502535715670537E-2</v>
      </c>
      <c r="D18">
        <f>VLOOKUP($A18,'Case-3'!$A$1:$AN$21,35,FALSE)</f>
        <v>0.12779025977787109</v>
      </c>
      <c r="E18">
        <f>VLOOKUP($A18,'Case-4'!$A$1:$AN$21,35,FALSE)</f>
        <v>0.16833365214181101</v>
      </c>
      <c r="F18">
        <f>VLOOKUP($A18,'Case-5'!$A$1:$AN$21,35,FALSE)</f>
        <v>0.25058059191871762</v>
      </c>
      <c r="G18">
        <f>VLOOKUP($A18,'Case-6'!$A$1:$AN$21,35,FALSE)</f>
        <v>0.36291218954555088</v>
      </c>
    </row>
    <row r="19" spans="1:7">
      <c r="A19" s="3">
        <v>108</v>
      </c>
      <c r="B19">
        <f>VLOOKUP($A19,'Case-1'!$A$1:$AN$21,35,FALSE)</f>
        <v>7.1854011097344933E-2</v>
      </c>
      <c r="C19">
        <f>VLOOKUP($A19,'Case-2'!$A$1:$AN$21,35,FALSE)</f>
        <v>8.7943314398407135E-2</v>
      </c>
      <c r="D19">
        <f>VLOOKUP($A19,'Case-3'!$A$1:$AN$21,35,FALSE)</f>
        <v>0.1190716061185301</v>
      </c>
      <c r="E19">
        <f>VLOOKUP($A19,'Case-4'!$A$1:$AN$21,35,FALSE)</f>
        <v>0.18138958199849389</v>
      </c>
      <c r="F19">
        <f>VLOOKUP($A19,'Case-5'!$A$1:$AN$21,35,FALSE)</f>
        <v>0.26834535602755338</v>
      </c>
      <c r="G19">
        <f>VLOOKUP($A19,'Case-6'!$A$1:$AN$21,35,FALSE)</f>
        <v>0.35098616911248348</v>
      </c>
    </row>
    <row r="20" spans="1:7">
      <c r="A20" s="2">
        <v>114</v>
      </c>
      <c r="B20">
        <f>VLOOKUP($A20,'Case-1'!$A$1:$AN$21,35,FALSE)</f>
        <v>7.1271573272613825E-2</v>
      </c>
      <c r="C20">
        <f>VLOOKUP($A20,'Case-2'!$A$1:$AN$21,35,FALSE)</f>
        <v>8.4672673049723743E-2</v>
      </c>
      <c r="D20">
        <f>VLOOKUP($A20,'Case-3'!$A$1:$AN$21,35,FALSE)</f>
        <v>0.1277751174987905</v>
      </c>
      <c r="E20">
        <f>VLOOKUP($A20,'Case-4'!$A$1:$AN$21,35,FALSE)</f>
        <v>0.1744469192300627</v>
      </c>
      <c r="F20">
        <f>VLOOKUP($A20,'Case-5'!$A$1:$AN$21,35,FALSE)</f>
        <v>0.24810256158047961</v>
      </c>
      <c r="G20">
        <f>VLOOKUP($A20,'Case-6'!$A$1:$AN$21,35,FALSE)</f>
        <v>0.35153390159518438</v>
      </c>
    </row>
    <row r="21" spans="1:7">
      <c r="A21" s="3">
        <v>120</v>
      </c>
      <c r="B21">
        <f>VLOOKUP($A21,'Case-1'!$A$1:$AN$21,35,FALSE)</f>
        <v>6.9224332360308921E-2</v>
      </c>
      <c r="C21">
        <f>VLOOKUP($A21,'Case-2'!$A$1:$AN$21,35,FALSE)</f>
        <v>8.7642722045858712E-2</v>
      </c>
      <c r="D21">
        <f>VLOOKUP($A21,'Case-3'!$A$1:$AN$21,35,FALSE)</f>
        <v>0.1194751732728075</v>
      </c>
      <c r="E21">
        <f>VLOOKUP($A21,'Case-4'!$A$1:$AN$21,35,FALSE)</f>
        <v>0.18048145788899281</v>
      </c>
      <c r="F21">
        <f>VLOOKUP($A21,'Case-5'!$A$1:$AN$21,35,FALSE)</f>
        <v>0.25883811834925602</v>
      </c>
      <c r="G21">
        <f>VLOOKUP($A21,'Case-6'!$A$1:$AN$21,35,FALSE)</f>
        <v>0.35273124954749641</v>
      </c>
    </row>
  </sheetData>
  <phoneticPr fontId="2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C089-EF2D-4A5A-B103-C25EA3492AC5}">
  <dimension ref="A1:G21"/>
  <sheetViews>
    <sheetView workbookViewId="0">
      <selection activeCell="B1" sqref="B1:G1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VLOOKUP($A2,'Case-1'!$A$1:$AN$21,36,FALSE)</f>
        <v>3.275492946682302E-2</v>
      </c>
      <c r="C2">
        <f>VLOOKUP($A2,'Case-2'!$A$1:$AN$21,36,FALSE)</f>
        <v>3.6036090903447893E-2</v>
      </c>
      <c r="D2">
        <f>VLOOKUP($A2,'Case-3'!$A$1:$AN$21,36,FALSE)</f>
        <v>0.16101849863177919</v>
      </c>
      <c r="E2">
        <f>VLOOKUP($A2,'Case-4'!$A$1:$AN$21,36,FALSE)</f>
        <v>5.1172147989976532E-2</v>
      </c>
      <c r="F2">
        <f>VLOOKUP($A2,'Case-5'!$A$1:$AN$21,36,FALSE)</f>
        <v>0.12483204650470479</v>
      </c>
      <c r="G2">
        <f>VLOOKUP($A2,'Case-6'!$A$1:$AN$21,36,FALSE)</f>
        <v>0</v>
      </c>
    </row>
    <row r="3" spans="1:7">
      <c r="A3" s="3">
        <v>12</v>
      </c>
      <c r="B3">
        <f>VLOOKUP($A3,'Case-1'!$A$1:$AN$21,36,FALSE)</f>
        <v>3.306700667607488E-2</v>
      </c>
      <c r="C3">
        <f>VLOOKUP($A3,'Case-2'!$A$1:$AN$21,36,FALSE)</f>
        <v>2.6494653513788279E-2</v>
      </c>
      <c r="D3">
        <f>VLOOKUP($A3,'Case-3'!$A$1:$AN$21,36,FALSE)</f>
        <v>3.0767467998357941E-2</v>
      </c>
      <c r="E3">
        <f>VLOOKUP($A3,'Case-4'!$A$1:$AN$21,36,FALSE)</f>
        <v>5.0660244405219608E-2</v>
      </c>
      <c r="F3">
        <f>VLOOKUP($A3,'Case-5'!$A$1:$AN$21,36,FALSE)</f>
        <v>4.4410990976902508E-2</v>
      </c>
      <c r="G3">
        <f>VLOOKUP($A3,'Case-6'!$A$1:$AN$21,36,FALSE)</f>
        <v>0</v>
      </c>
    </row>
    <row r="4" spans="1:7">
      <c r="A4" s="2">
        <v>18</v>
      </c>
      <c r="B4">
        <f>VLOOKUP($A4,'Case-1'!$A$1:$AN$21,36,FALSE)</f>
        <v>2.8705139379008371E-2</v>
      </c>
      <c r="C4">
        <f>VLOOKUP($A4,'Case-2'!$A$1:$AN$21,36,FALSE)</f>
        <v>3.3161013806452463E-2</v>
      </c>
      <c r="D4">
        <f>VLOOKUP($A4,'Case-3'!$A$1:$AN$21,36,FALSE)</f>
        <v>4.0349551857688612E-2</v>
      </c>
      <c r="E4">
        <f>VLOOKUP($A4,'Case-4'!$A$1:$AN$21,36,FALSE)</f>
        <v>3.9537266659442738E-2</v>
      </c>
      <c r="F4">
        <f>VLOOKUP($A4,'Case-5'!$A$1:$AN$21,36,FALSE)</f>
        <v>3.502856303031758E-2</v>
      </c>
      <c r="G4">
        <f>VLOOKUP($A4,'Case-6'!$A$1:$AN$21,36,FALSE)</f>
        <v>6.8651738799176618E-2</v>
      </c>
    </row>
    <row r="5" spans="1:7">
      <c r="A5" s="3">
        <v>24</v>
      </c>
      <c r="B5">
        <f>VLOOKUP($A5,'Case-1'!$A$1:$AN$21,36,FALSE)</f>
        <v>2.831650722572451E-2</v>
      </c>
      <c r="C5">
        <f>VLOOKUP($A5,'Case-2'!$A$1:$AN$21,36,FALSE)</f>
        <v>3.0549834382708939E-2</v>
      </c>
      <c r="D5">
        <f>VLOOKUP($A5,'Case-3'!$A$1:$AN$21,36,FALSE)</f>
        <v>3.5698920373626167E-2</v>
      </c>
      <c r="E5">
        <f>VLOOKUP($A5,'Case-4'!$A$1:$AN$21,36,FALSE)</f>
        <v>3.8901364965541023E-2</v>
      </c>
      <c r="F5">
        <f>VLOOKUP($A5,'Case-5'!$A$1:$AN$21,36,FALSE)</f>
        <v>4.4866083044513887E-2</v>
      </c>
      <c r="G5">
        <f>VLOOKUP($A5,'Case-6'!$A$1:$AN$21,36,FALSE)</f>
        <v>6.2007378277896062E-2</v>
      </c>
    </row>
    <row r="6" spans="1:7">
      <c r="A6" s="2">
        <v>30</v>
      </c>
      <c r="B6">
        <f>VLOOKUP($A6,'Case-1'!$A$1:$AN$21,36,FALSE)</f>
        <v>2.6836058378580479E-2</v>
      </c>
      <c r="C6">
        <f>VLOOKUP($A6,'Case-2'!$A$1:$AN$21,36,FALSE)</f>
        <v>2.9335265194267879E-2</v>
      </c>
      <c r="D6">
        <f>VLOOKUP($A6,'Case-3'!$A$1:$AN$21,36,FALSE)</f>
        <v>2.853381597744226E-2</v>
      </c>
      <c r="E6">
        <f>VLOOKUP($A6,'Case-4'!$A$1:$AN$21,36,FALSE)</f>
        <v>3.8575682415488539E-2</v>
      </c>
      <c r="F6">
        <f>VLOOKUP($A6,'Case-5'!$A$1:$AN$21,36,FALSE)</f>
        <v>4.5039727294758518E-2</v>
      </c>
      <c r="G6">
        <f>VLOOKUP($A6,'Case-6'!$A$1:$AN$21,36,FALSE)</f>
        <v>6.3195593439386813E-2</v>
      </c>
    </row>
    <row r="7" spans="1:7">
      <c r="A7" s="3">
        <v>36</v>
      </c>
      <c r="B7">
        <f>VLOOKUP($A7,'Case-1'!$A$1:$AN$21,36,FALSE)</f>
        <v>2.5542251170643359E-2</v>
      </c>
      <c r="C7">
        <f>VLOOKUP($A7,'Case-2'!$A$1:$AN$21,36,FALSE)</f>
        <v>2.9204458802592731E-2</v>
      </c>
      <c r="D7">
        <f>VLOOKUP($A7,'Case-3'!$A$1:$AN$21,36,FALSE)</f>
        <v>2.9911214701886679E-2</v>
      </c>
      <c r="E7">
        <f>VLOOKUP($A7,'Case-4'!$A$1:$AN$21,36,FALSE)</f>
        <v>3.5473608734734201E-2</v>
      </c>
      <c r="F7">
        <f>VLOOKUP($A7,'Case-5'!$A$1:$AN$21,36,FALSE)</f>
        <v>4.1703042269747109E-2</v>
      </c>
      <c r="G7">
        <f>VLOOKUP($A7,'Case-6'!$A$1:$AN$21,36,FALSE)</f>
        <v>5.7307974494729012E-2</v>
      </c>
    </row>
    <row r="8" spans="1:7">
      <c r="A8" s="2">
        <v>42</v>
      </c>
      <c r="B8">
        <f>VLOOKUP($A8,'Case-1'!$A$1:$AN$21,36,FALSE)</f>
        <v>2.9512717353276891E-2</v>
      </c>
      <c r="C8">
        <f>VLOOKUP($A8,'Case-2'!$A$1:$AN$21,36,FALSE)</f>
        <v>2.621652291272062E-2</v>
      </c>
      <c r="D8">
        <f>VLOOKUP($A8,'Case-3'!$A$1:$AN$21,36,FALSE)</f>
        <v>3.4859819469807603E-2</v>
      </c>
      <c r="E8">
        <f>VLOOKUP($A8,'Case-4'!$A$1:$AN$21,36,FALSE)</f>
        <v>3.726265950768206E-2</v>
      </c>
      <c r="F8">
        <f>VLOOKUP($A8,'Case-5'!$A$1:$AN$21,36,FALSE)</f>
        <v>4.2857844963353778E-2</v>
      </c>
      <c r="G8">
        <f>VLOOKUP($A8,'Case-6'!$A$1:$AN$21,36,FALSE)</f>
        <v>6.5580239779248331E-2</v>
      </c>
    </row>
    <row r="9" spans="1:7">
      <c r="A9" s="3">
        <v>48</v>
      </c>
      <c r="B9">
        <f>VLOOKUP($A9,'Case-1'!$A$1:$AN$21,36,FALSE)</f>
        <v>2.435839749023154E-2</v>
      </c>
      <c r="C9">
        <f>VLOOKUP($A9,'Case-2'!$A$1:$AN$21,36,FALSE)</f>
        <v>2.8849767752473041E-2</v>
      </c>
      <c r="D9">
        <f>VLOOKUP($A9,'Case-3'!$A$1:$AN$21,36,FALSE)</f>
        <v>3.0203868127038739E-2</v>
      </c>
      <c r="E9">
        <f>VLOOKUP($A9,'Case-4'!$A$1:$AN$21,36,FALSE)</f>
        <v>3.2679648291874808E-2</v>
      </c>
      <c r="F9">
        <f>VLOOKUP($A9,'Case-5'!$A$1:$AN$21,36,FALSE)</f>
        <v>4.0300560935701051E-2</v>
      </c>
      <c r="G9">
        <f>VLOOKUP($A9,'Case-6'!$A$1:$AN$21,36,FALSE)</f>
        <v>5.1650077174656223E-2</v>
      </c>
    </row>
    <row r="10" spans="1:7">
      <c r="A10" s="2">
        <v>54</v>
      </c>
      <c r="B10">
        <f>VLOOKUP($A10,'Case-1'!$A$1:$AN$21,36,FALSE)</f>
        <v>2.5864967300067009E-2</v>
      </c>
      <c r="C10">
        <f>VLOOKUP($A10,'Case-2'!$A$1:$AN$21,36,FALSE)</f>
        <v>2.5472849004868531E-2</v>
      </c>
      <c r="D10">
        <f>VLOOKUP($A10,'Case-3'!$A$1:$AN$21,36,FALSE)</f>
        <v>2.701148066246031E-2</v>
      </c>
      <c r="E10">
        <f>VLOOKUP($A10,'Case-4'!$A$1:$AN$21,36,FALSE)</f>
        <v>3.2319509512357729E-2</v>
      </c>
      <c r="F10">
        <f>VLOOKUP($A10,'Case-5'!$A$1:$AN$21,36,FALSE)</f>
        <v>4.3772335383071452E-2</v>
      </c>
      <c r="G10">
        <f>VLOOKUP($A10,'Case-6'!$A$1:$AN$21,36,FALSE)</f>
        <v>5.5307769880943942E-2</v>
      </c>
    </row>
    <row r="11" spans="1:7">
      <c r="A11" s="3">
        <v>60</v>
      </c>
      <c r="B11">
        <f>VLOOKUP($A11,'Case-1'!$A$1:$AN$21,36,FALSE)</f>
        <v>2.4394913809753099E-2</v>
      </c>
      <c r="C11">
        <f>VLOOKUP($A11,'Case-2'!$A$1:$AN$21,36,FALSE)</f>
        <v>2.9527133087536021E-2</v>
      </c>
      <c r="D11">
        <f>VLOOKUP($A11,'Case-3'!$A$1:$AN$21,36,FALSE)</f>
        <v>3.115121430032149E-2</v>
      </c>
      <c r="E11">
        <f>VLOOKUP($A11,'Case-4'!$A$1:$AN$21,36,FALSE)</f>
        <v>3.6337942530522381E-2</v>
      </c>
      <c r="F11">
        <f>VLOOKUP($A11,'Case-5'!$A$1:$AN$21,36,FALSE)</f>
        <v>4.117994193385157E-2</v>
      </c>
      <c r="G11">
        <f>VLOOKUP($A11,'Case-6'!$A$1:$AN$21,36,FALSE)</f>
        <v>4.7771008097043773E-2</v>
      </c>
    </row>
    <row r="12" spans="1:7">
      <c r="A12" s="2">
        <v>66</v>
      </c>
      <c r="B12">
        <f>VLOOKUP($A12,'Case-1'!$A$1:$AN$21,36,FALSE)</f>
        <v>2.6053341952078281E-2</v>
      </c>
      <c r="C12">
        <f>VLOOKUP($A12,'Case-2'!$A$1:$AN$21,36,FALSE)</f>
        <v>2.943014008628593E-2</v>
      </c>
      <c r="D12">
        <f>VLOOKUP($A12,'Case-3'!$A$1:$AN$21,36,FALSE)</f>
        <v>3.0010383021919929E-2</v>
      </c>
      <c r="E12">
        <f>VLOOKUP($A12,'Case-4'!$A$1:$AN$21,36,FALSE)</f>
        <v>3.258012750327513E-2</v>
      </c>
      <c r="F12">
        <f>VLOOKUP($A12,'Case-5'!$A$1:$AN$21,36,FALSE)</f>
        <v>3.7162280254515151E-2</v>
      </c>
      <c r="G12">
        <f>VLOOKUP($A12,'Case-6'!$A$1:$AN$21,36,FALSE)</f>
        <v>4.889630529365338E-2</v>
      </c>
    </row>
    <row r="13" spans="1:7">
      <c r="A13" s="3">
        <v>72</v>
      </c>
      <c r="B13">
        <f>VLOOKUP($A13,'Case-1'!$A$1:$AN$21,36,FALSE)</f>
        <v>2.4088593830502061E-2</v>
      </c>
      <c r="C13">
        <f>VLOOKUP($A13,'Case-2'!$A$1:$AN$21,36,FALSE)</f>
        <v>3.0942537696464711E-2</v>
      </c>
      <c r="D13">
        <f>VLOOKUP($A13,'Case-3'!$A$1:$AN$21,36,FALSE)</f>
        <v>3.0303756829445559E-2</v>
      </c>
      <c r="E13">
        <f>VLOOKUP($A13,'Case-4'!$A$1:$AN$21,36,FALSE)</f>
        <v>3.0304356791787258E-2</v>
      </c>
      <c r="F13">
        <f>VLOOKUP($A13,'Case-5'!$A$1:$AN$21,36,FALSE)</f>
        <v>4.4775298683189288E-2</v>
      </c>
      <c r="G13">
        <f>VLOOKUP($A13,'Case-6'!$A$1:$AN$21,36,FALSE)</f>
        <v>3.5309617367823218E-2</v>
      </c>
    </row>
    <row r="14" spans="1:7">
      <c r="A14" s="2">
        <v>78</v>
      </c>
      <c r="B14">
        <f>VLOOKUP($A14,'Case-1'!$A$1:$AN$21,36,FALSE)</f>
        <v>2.337788765374783E-2</v>
      </c>
      <c r="C14">
        <f>VLOOKUP($A14,'Case-2'!$A$1:$AN$21,36,FALSE)</f>
        <v>2.6057483388390031E-2</v>
      </c>
      <c r="D14">
        <f>VLOOKUP($A14,'Case-3'!$A$1:$AN$21,36,FALSE)</f>
        <v>2.9473427164017591E-2</v>
      </c>
      <c r="E14">
        <f>VLOOKUP($A14,'Case-4'!$A$1:$AN$21,36,FALSE)</f>
        <v>3.3845551588198339E-2</v>
      </c>
      <c r="F14">
        <f>VLOOKUP($A14,'Case-5'!$A$1:$AN$21,36,FALSE)</f>
        <v>3.1082892574212751E-2</v>
      </c>
      <c r="G14">
        <f>VLOOKUP($A14,'Case-6'!$A$1:$AN$21,36,FALSE)</f>
        <v>3.4776770248153122E-2</v>
      </c>
    </row>
    <row r="15" spans="1:7">
      <c r="A15" s="3">
        <v>84</v>
      </c>
      <c r="B15">
        <f>VLOOKUP($A15,'Case-1'!$A$1:$AN$21,36,FALSE)</f>
        <v>2.3538960158077899E-2</v>
      </c>
      <c r="C15">
        <f>VLOOKUP($A15,'Case-2'!$A$1:$AN$21,36,FALSE)</f>
        <v>3.0455124976385889E-2</v>
      </c>
      <c r="D15">
        <f>VLOOKUP($A15,'Case-3'!$A$1:$AN$21,36,FALSE)</f>
        <v>2.5304943071651809E-2</v>
      </c>
      <c r="E15">
        <f>VLOOKUP($A15,'Case-4'!$A$1:$AN$21,36,FALSE)</f>
        <v>3.1329250730751802E-2</v>
      </c>
      <c r="F15">
        <f>VLOOKUP($A15,'Case-5'!$A$1:$AN$21,36,FALSE)</f>
        <v>2.5002065914129529E-2</v>
      </c>
      <c r="G15">
        <f>VLOOKUP($A15,'Case-6'!$A$1:$AN$21,36,FALSE)</f>
        <v>5.1207576349523207E-2</v>
      </c>
    </row>
    <row r="16" spans="1:7">
      <c r="A16" s="2">
        <v>90</v>
      </c>
      <c r="B16">
        <f>VLOOKUP($A16,'Case-1'!$A$1:$AN$21,36,FALSE)</f>
        <v>2.385646197022873E-2</v>
      </c>
      <c r="C16">
        <f>VLOOKUP($A16,'Case-2'!$A$1:$AN$21,36,FALSE)</f>
        <v>2.8733660474528529E-2</v>
      </c>
      <c r="D16">
        <f>VLOOKUP($A16,'Case-3'!$A$1:$AN$21,36,FALSE)</f>
        <v>2.624657184016474E-2</v>
      </c>
      <c r="E16">
        <f>VLOOKUP($A16,'Case-4'!$A$1:$AN$21,36,FALSE)</f>
        <v>3.107313619544123E-2</v>
      </c>
      <c r="F16">
        <f>VLOOKUP($A16,'Case-5'!$A$1:$AN$21,36,FALSE)</f>
        <v>3.6688049785435217E-2</v>
      </c>
      <c r="G16">
        <f>VLOOKUP($A16,'Case-6'!$A$1:$AN$21,36,FALSE)</f>
        <v>4.6268129199856213E-2</v>
      </c>
    </row>
    <row r="17" spans="1:7">
      <c r="A17" s="3">
        <v>96</v>
      </c>
      <c r="B17">
        <f>VLOOKUP($A17,'Case-1'!$A$1:$AN$21,36,FALSE)</f>
        <v>2.492685074262882E-2</v>
      </c>
      <c r="C17">
        <f>VLOOKUP($A17,'Case-2'!$A$1:$AN$21,36,FALSE)</f>
        <v>2.5053031493939951E-2</v>
      </c>
      <c r="D17">
        <f>VLOOKUP($A17,'Case-3'!$A$1:$AN$21,36,FALSE)</f>
        <v>2.9287344218292759E-2</v>
      </c>
      <c r="E17">
        <f>VLOOKUP($A17,'Case-4'!$A$1:$AN$21,36,FALSE)</f>
        <v>3.002279442077007E-2</v>
      </c>
      <c r="F17">
        <f>VLOOKUP($A17,'Case-5'!$A$1:$AN$21,36,FALSE)</f>
        <v>3.020918208943232E-2</v>
      </c>
      <c r="G17">
        <f>VLOOKUP($A17,'Case-6'!$A$1:$AN$21,36,FALSE)</f>
        <v>4.7108986470834988E-2</v>
      </c>
    </row>
    <row r="18" spans="1:7">
      <c r="A18" s="2">
        <v>102</v>
      </c>
      <c r="B18">
        <f>VLOOKUP($A18,'Case-1'!$A$1:$AN$21,36,FALSE)</f>
        <v>2.5148635976459111E-2</v>
      </c>
      <c r="C18">
        <f>VLOOKUP($A18,'Case-2'!$A$1:$AN$21,36,FALSE)</f>
        <v>2.784288584200845E-2</v>
      </c>
      <c r="D18">
        <f>VLOOKUP($A18,'Case-3'!$A$1:$AN$21,36,FALSE)</f>
        <v>2.857835666637772E-2</v>
      </c>
      <c r="E18">
        <f>VLOOKUP($A18,'Case-4'!$A$1:$AN$21,36,FALSE)</f>
        <v>2.7394990775191499E-2</v>
      </c>
      <c r="F18">
        <f>VLOOKUP($A18,'Case-5'!$A$1:$AN$21,36,FALSE)</f>
        <v>3.1108959234639539E-2</v>
      </c>
      <c r="G18">
        <f>VLOOKUP($A18,'Case-6'!$A$1:$AN$21,36,FALSE)</f>
        <v>2.1190352168687279E-2</v>
      </c>
    </row>
    <row r="19" spans="1:7">
      <c r="A19" s="3">
        <v>108</v>
      </c>
      <c r="B19">
        <f>VLOOKUP($A19,'Case-1'!$A$1:$AN$21,36,FALSE)</f>
        <v>2.418124695296996E-2</v>
      </c>
      <c r="C19">
        <f>VLOOKUP($A19,'Case-2'!$A$1:$AN$21,36,FALSE)</f>
        <v>2.817635011643527E-2</v>
      </c>
      <c r="D19">
        <f>VLOOKUP($A19,'Case-3'!$A$1:$AN$21,36,FALSE)</f>
        <v>2.6464513038319089E-2</v>
      </c>
      <c r="E19">
        <f>VLOOKUP($A19,'Case-4'!$A$1:$AN$21,36,FALSE)</f>
        <v>2.9719158294846879E-2</v>
      </c>
      <c r="F19">
        <f>VLOOKUP($A19,'Case-5'!$A$1:$AN$21,36,FALSE)</f>
        <v>2.7821074335835728E-2</v>
      </c>
      <c r="G19">
        <f>VLOOKUP($A19,'Case-6'!$A$1:$AN$21,36,FALSE)</f>
        <v>4.5991078133939649E-2</v>
      </c>
    </row>
    <row r="20" spans="1:7">
      <c r="A20" s="2">
        <v>114</v>
      </c>
      <c r="B20">
        <f>VLOOKUP($A20,'Case-1'!$A$1:$AN$21,36,FALSE)</f>
        <v>2.5029111623404949E-2</v>
      </c>
      <c r="C20">
        <f>VLOOKUP($A20,'Case-2'!$A$1:$AN$21,36,FALSE)</f>
        <v>2.792820884896215E-2</v>
      </c>
      <c r="D20">
        <f>VLOOKUP($A20,'Case-3'!$A$1:$AN$21,36,FALSE)</f>
        <v>2.2848888263246402E-2</v>
      </c>
      <c r="E20">
        <f>VLOOKUP($A20,'Case-4'!$A$1:$AN$21,36,FALSE)</f>
        <v>3.3799511165641623E-2</v>
      </c>
      <c r="F20">
        <f>VLOOKUP($A20,'Case-5'!$A$1:$AN$21,36,FALSE)</f>
        <v>3.0632395404053651E-2</v>
      </c>
      <c r="G20">
        <f>VLOOKUP($A20,'Case-6'!$A$1:$AN$21,36,FALSE)</f>
        <v>2.263369683360569E-2</v>
      </c>
    </row>
    <row r="21" spans="1:7">
      <c r="A21" s="3">
        <v>120</v>
      </c>
      <c r="B21">
        <f>VLOOKUP($A21,'Case-1'!$A$1:$AN$21,36,FALSE)</f>
        <v>2.293450223630164E-2</v>
      </c>
      <c r="C21">
        <f>VLOOKUP($A21,'Case-2'!$A$1:$AN$21,36,FALSE)</f>
        <v>2.638214113498602E-2</v>
      </c>
      <c r="D21">
        <f>VLOOKUP($A21,'Case-3'!$A$1:$AN$21,36,FALSE)</f>
        <v>2.5934845615114999E-2</v>
      </c>
      <c r="E21">
        <f>VLOOKUP($A21,'Case-4'!$A$1:$AN$21,36,FALSE)</f>
        <v>3.3371079173620477E-2</v>
      </c>
      <c r="F21">
        <f>VLOOKUP($A21,'Case-5'!$A$1:$AN$21,36,FALSE)</f>
        <v>3.3302415644349222E-2</v>
      </c>
      <c r="G21">
        <f>VLOOKUP($A21,'Case-6'!$A$1:$AN$21,36,FALSE)</f>
        <v>3.2126169646836872E-2</v>
      </c>
    </row>
  </sheetData>
  <phoneticPr fontId="2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F3B3-87C3-4F4C-9DA4-0397F562E94F}">
  <dimension ref="A1:G22"/>
  <sheetViews>
    <sheetView workbookViewId="0">
      <selection activeCell="B22" sqref="B22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VLOOKUP($A2,'Case-1'!$A$1:$AN$21,37,FALSE)</f>
        <v>0.40351489177489169</v>
      </c>
      <c r="C2">
        <f>VLOOKUP($A2,'Case-2'!$A$1:$AN$21,37,FALSE)</f>
        <v>0.40716062409812398</v>
      </c>
      <c r="D2">
        <f>VLOOKUP($A2,'Case-3'!$A$1:$AN$21,37,FALSE)</f>
        <v>0.38038933235495143</v>
      </c>
      <c r="E2">
        <f>VLOOKUP($A2,'Case-4'!$A$1:$AN$21,37,FALSE)</f>
        <v>0.31829050671550652</v>
      </c>
      <c r="F2">
        <f>VLOOKUP($A2,'Case-5'!$A$1:$AN$21,37,FALSE)</f>
        <v>0.39265626937991471</v>
      </c>
      <c r="G2">
        <f>VLOOKUP($A2,'Case-6'!$A$1:$AN$21,37,FALSE)</f>
        <v>0.31285333450948749</v>
      </c>
    </row>
    <row r="3" spans="1:7">
      <c r="A3" s="3">
        <v>12</v>
      </c>
      <c r="B3">
        <f>VLOOKUP($A3,'Case-1'!$A$1:$AN$21,37,FALSE)</f>
        <v>0.43936307650528739</v>
      </c>
      <c r="C3">
        <f>VLOOKUP($A3,'Case-2'!$A$1:$AN$21,37,FALSE)</f>
        <v>0.40305595274625161</v>
      </c>
      <c r="D3">
        <f>VLOOKUP($A3,'Case-3'!$A$1:$AN$21,37,FALSE)</f>
        <v>0.35966732864388479</v>
      </c>
      <c r="E3">
        <f>VLOOKUP($A3,'Case-4'!$A$1:$AN$21,37,FALSE)</f>
        <v>0.3345546270011106</v>
      </c>
      <c r="F3">
        <f>VLOOKUP($A3,'Case-5'!$A$1:$AN$21,37,FALSE)</f>
        <v>0.32759940733283299</v>
      </c>
      <c r="G3">
        <f>VLOOKUP($A3,'Case-6'!$A$1:$AN$21,37,FALSE)</f>
        <v>0.32365730038352319</v>
      </c>
    </row>
    <row r="4" spans="1:7">
      <c r="A4" s="2">
        <v>18</v>
      </c>
      <c r="B4">
        <f>VLOOKUP($A4,'Case-1'!$A$1:$AN$21,37,FALSE)</f>
        <v>0.43335371832582298</v>
      </c>
      <c r="C4">
        <f>VLOOKUP($A4,'Case-2'!$A$1:$AN$21,37,FALSE)</f>
        <v>0.42033499208652048</v>
      </c>
      <c r="D4">
        <f>VLOOKUP($A4,'Case-3'!$A$1:$AN$21,37,FALSE)</f>
        <v>0.37821380128419929</v>
      </c>
      <c r="E4">
        <f>VLOOKUP($A4,'Case-4'!$A$1:$AN$21,37,FALSE)</f>
        <v>0.34966188458771441</v>
      </c>
      <c r="F4">
        <f>VLOOKUP($A4,'Case-5'!$A$1:$AN$21,37,FALSE)</f>
        <v>0.34263367841128761</v>
      </c>
      <c r="G4">
        <f>VLOOKUP($A4,'Case-6'!$A$1:$AN$21,37,FALSE)</f>
        <v>0.32940776251796428</v>
      </c>
    </row>
    <row r="5" spans="1:7">
      <c r="A5" s="3">
        <v>24</v>
      </c>
      <c r="B5">
        <f>VLOOKUP($A5,'Case-1'!$A$1:$AN$21,37,FALSE)</f>
        <v>0.43326891376263199</v>
      </c>
      <c r="C5">
        <f>VLOOKUP($A5,'Case-2'!$A$1:$AN$21,37,FALSE)</f>
        <v>0.41919370464601569</v>
      </c>
      <c r="D5">
        <f>VLOOKUP($A5,'Case-3'!$A$1:$AN$21,37,FALSE)</f>
        <v>0.37541399040725182</v>
      </c>
      <c r="E5">
        <f>VLOOKUP($A5,'Case-4'!$A$1:$AN$21,37,FALSE)</f>
        <v>0.35737410310526141</v>
      </c>
      <c r="F5">
        <f>VLOOKUP($A5,'Case-5'!$A$1:$AN$21,37,FALSE)</f>
        <v>0.33749924199560277</v>
      </c>
      <c r="G5">
        <f>VLOOKUP($A5,'Case-6'!$A$1:$AN$21,37,FALSE)</f>
        <v>0.32893306557138269</v>
      </c>
    </row>
    <row r="6" spans="1:7">
      <c r="A6" s="2">
        <v>30</v>
      </c>
      <c r="B6">
        <f>VLOOKUP($A6,'Case-1'!$A$1:$AN$21,37,FALSE)</f>
        <v>0.44061892370696959</v>
      </c>
      <c r="C6">
        <f>VLOOKUP($A6,'Case-2'!$A$1:$AN$21,37,FALSE)</f>
        <v>0.41806018089876829</v>
      </c>
      <c r="D6">
        <f>VLOOKUP($A6,'Case-3'!$A$1:$AN$21,37,FALSE)</f>
        <v>0.38251934116729153</v>
      </c>
      <c r="E6">
        <f>VLOOKUP($A6,'Case-4'!$A$1:$AN$21,37,FALSE)</f>
        <v>0.36178849253783768</v>
      </c>
      <c r="F6">
        <f>VLOOKUP($A6,'Case-5'!$A$1:$AN$21,37,FALSE)</f>
        <v>0.34503508368826269</v>
      </c>
      <c r="G6">
        <f>VLOOKUP($A6,'Case-6'!$A$1:$AN$21,37,FALSE)</f>
        <v>0.33497795666185892</v>
      </c>
    </row>
    <row r="7" spans="1:7">
      <c r="A7" s="3">
        <v>36</v>
      </c>
      <c r="B7">
        <f>VLOOKUP($A7,'Case-1'!$A$1:$AN$21,37,FALSE)</f>
        <v>0.44475115663515802</v>
      </c>
      <c r="C7">
        <f>VLOOKUP($A7,'Case-2'!$A$1:$AN$21,37,FALSE)</f>
        <v>0.43116734970047038</v>
      </c>
      <c r="D7">
        <f>VLOOKUP($A7,'Case-3'!$A$1:$AN$21,37,FALSE)</f>
        <v>0.37754939847651081</v>
      </c>
      <c r="E7">
        <f>VLOOKUP($A7,'Case-4'!$A$1:$AN$21,37,FALSE)</f>
        <v>0.35643040223049632</v>
      </c>
      <c r="F7">
        <f>VLOOKUP($A7,'Case-5'!$A$1:$AN$21,37,FALSE)</f>
        <v>0.34172841202893273</v>
      </c>
      <c r="G7">
        <f>VLOOKUP($A7,'Case-6'!$A$1:$AN$21,37,FALSE)</f>
        <v>0.33469816580033879</v>
      </c>
    </row>
    <row r="8" spans="1:7">
      <c r="A8" s="2">
        <v>42</v>
      </c>
      <c r="B8">
        <f>VLOOKUP($A8,'Case-1'!$A$1:$AN$21,37,FALSE)</f>
        <v>0.44353007991896598</v>
      </c>
      <c r="C8">
        <f>VLOOKUP($A8,'Case-2'!$A$1:$AN$21,37,FALSE)</f>
        <v>0.4210014174077264</v>
      </c>
      <c r="D8">
        <f>VLOOKUP($A8,'Case-3'!$A$1:$AN$21,37,FALSE)</f>
        <v>0.385585894692553</v>
      </c>
      <c r="E8">
        <f>VLOOKUP($A8,'Case-4'!$A$1:$AN$21,37,FALSE)</f>
        <v>0.36031921035903891</v>
      </c>
      <c r="F8">
        <f>VLOOKUP($A8,'Case-5'!$A$1:$AN$21,37,FALSE)</f>
        <v>0.34847745628720228</v>
      </c>
      <c r="G8">
        <f>VLOOKUP($A8,'Case-6'!$A$1:$AN$21,37,FALSE)</f>
        <v>0.33422460949753691</v>
      </c>
    </row>
    <row r="9" spans="1:7">
      <c r="A9" s="3">
        <v>48</v>
      </c>
      <c r="B9">
        <f>VLOOKUP($A9,'Case-1'!$A$1:$AN$21,37,FALSE)</f>
        <v>0.44357695845863798</v>
      </c>
      <c r="C9">
        <f>VLOOKUP($A9,'Case-2'!$A$1:$AN$21,37,FALSE)</f>
        <v>0.4287555744058974</v>
      </c>
      <c r="D9">
        <f>VLOOKUP($A9,'Case-3'!$A$1:$AN$21,37,FALSE)</f>
        <v>0.38478162451044301</v>
      </c>
      <c r="E9">
        <f>VLOOKUP($A9,'Case-4'!$A$1:$AN$21,37,FALSE)</f>
        <v>0.36315376220697332</v>
      </c>
      <c r="F9">
        <f>VLOOKUP($A9,'Case-5'!$A$1:$AN$21,37,FALSE)</f>
        <v>0.35048366417917509</v>
      </c>
      <c r="G9">
        <f>VLOOKUP($A9,'Case-6'!$A$1:$AN$21,37,FALSE)</f>
        <v>0.33767984165443388</v>
      </c>
    </row>
    <row r="10" spans="1:7">
      <c r="A10" s="2">
        <v>54</v>
      </c>
      <c r="B10">
        <f>VLOOKUP($A10,'Case-1'!$A$1:$AN$21,37,FALSE)</f>
        <v>0.44151973709723208</v>
      </c>
      <c r="C10">
        <f>VLOOKUP($A10,'Case-2'!$A$1:$AN$21,37,FALSE)</f>
        <v>0.42303822453175072</v>
      </c>
      <c r="D10">
        <f>VLOOKUP($A10,'Case-3'!$A$1:$AN$21,37,FALSE)</f>
        <v>0.38368647746326717</v>
      </c>
      <c r="E10">
        <f>VLOOKUP($A10,'Case-4'!$A$1:$AN$21,37,FALSE)</f>
        <v>0.36538746335653582</v>
      </c>
      <c r="F10">
        <f>VLOOKUP($A10,'Case-5'!$A$1:$AN$21,37,FALSE)</f>
        <v>0.34576923058650788</v>
      </c>
      <c r="G10">
        <f>VLOOKUP($A10,'Case-6'!$A$1:$AN$21,37,FALSE)</f>
        <v>0.33867276733855572</v>
      </c>
    </row>
    <row r="11" spans="1:7">
      <c r="A11" s="3">
        <v>60</v>
      </c>
      <c r="B11">
        <f>VLOOKUP($A11,'Case-1'!$A$1:$AN$21,37,FALSE)</f>
        <v>0.44275829405820472</v>
      </c>
      <c r="C11">
        <f>VLOOKUP($A11,'Case-2'!$A$1:$AN$21,37,FALSE)</f>
        <v>0.42130055156226148</v>
      </c>
      <c r="D11">
        <f>VLOOKUP($A11,'Case-3'!$A$1:$AN$21,37,FALSE)</f>
        <v>0.38881054756991013</v>
      </c>
      <c r="E11">
        <f>VLOOKUP($A11,'Case-4'!$A$1:$AN$21,37,FALSE)</f>
        <v>0.36464195198682342</v>
      </c>
      <c r="F11">
        <f>VLOOKUP($A11,'Case-5'!$A$1:$AN$21,37,FALSE)</f>
        <v>0.34673847773629729</v>
      </c>
      <c r="G11">
        <f>VLOOKUP($A11,'Case-6'!$A$1:$AN$21,37,FALSE)</f>
        <v>0.33743494571220839</v>
      </c>
    </row>
    <row r="12" spans="1:7">
      <c r="A12" s="2">
        <v>66</v>
      </c>
      <c r="B12">
        <f>VLOOKUP($A12,'Case-1'!$A$1:$AN$21,37,FALSE)</f>
        <v>0.44305175570535399</v>
      </c>
      <c r="C12">
        <f>VLOOKUP($A12,'Case-2'!$A$1:$AN$21,37,FALSE)</f>
        <v>0.42689077647442952</v>
      </c>
      <c r="D12">
        <f>VLOOKUP($A12,'Case-3'!$A$1:$AN$21,37,FALSE)</f>
        <v>0.38978308447551391</v>
      </c>
      <c r="E12">
        <f>VLOOKUP($A12,'Case-4'!$A$1:$AN$21,37,FALSE)</f>
        <v>0.36571427935796408</v>
      </c>
      <c r="F12">
        <f>VLOOKUP($A12,'Case-5'!$A$1:$AN$21,37,FALSE)</f>
        <v>0.35323549572961488</v>
      </c>
      <c r="G12">
        <f>VLOOKUP($A12,'Case-6'!$A$1:$AN$21,37,FALSE)</f>
        <v>0.3393802795071017</v>
      </c>
    </row>
    <row r="13" spans="1:7">
      <c r="A13" s="3">
        <v>72</v>
      </c>
      <c r="B13">
        <f>VLOOKUP($A13,'Case-1'!$A$1:$AN$21,37,FALSE)</f>
        <v>0.44286580348742111</v>
      </c>
      <c r="C13">
        <f>VLOOKUP($A13,'Case-2'!$A$1:$AN$21,37,FALSE)</f>
        <v>0.42537501215016138</v>
      </c>
      <c r="D13">
        <f>VLOOKUP($A13,'Case-3'!$A$1:$AN$21,37,FALSE)</f>
        <v>0.38885856021780868</v>
      </c>
      <c r="E13">
        <f>VLOOKUP($A13,'Case-4'!$A$1:$AN$21,37,FALSE)</f>
        <v>0.36590813548043682</v>
      </c>
      <c r="F13">
        <f>VLOOKUP($A13,'Case-5'!$A$1:$AN$21,37,FALSE)</f>
        <v>0.34934454549207339</v>
      </c>
      <c r="G13">
        <f>VLOOKUP($A13,'Case-6'!$A$1:$AN$21,37,FALSE)</f>
        <v>0.339267019368654</v>
      </c>
    </row>
    <row r="14" spans="1:7">
      <c r="A14" s="2">
        <v>78</v>
      </c>
      <c r="B14">
        <f>VLOOKUP($A14,'Case-1'!$A$1:$AN$21,37,FALSE)</f>
        <v>0.44312036281812123</v>
      </c>
      <c r="C14">
        <f>VLOOKUP($A14,'Case-2'!$A$1:$AN$21,37,FALSE)</f>
        <v>0.43002179757133491</v>
      </c>
      <c r="D14">
        <f>VLOOKUP($A14,'Case-3'!$A$1:$AN$21,37,FALSE)</f>
        <v>0.38600038033056339</v>
      </c>
      <c r="E14">
        <f>VLOOKUP($A14,'Case-4'!$A$1:$AN$21,37,FALSE)</f>
        <v>0.3671093620487173</v>
      </c>
      <c r="F14">
        <f>VLOOKUP($A14,'Case-5'!$A$1:$AN$21,37,FALSE)</f>
        <v>0.34863558134919381</v>
      </c>
      <c r="G14">
        <f>VLOOKUP($A14,'Case-6'!$A$1:$AN$21,37,FALSE)</f>
        <v>0.33984880570647008</v>
      </c>
    </row>
    <row r="15" spans="1:7">
      <c r="A15" s="3">
        <v>84</v>
      </c>
      <c r="B15">
        <f>VLOOKUP($A15,'Case-1'!$A$1:$AN$21,37,FALSE)</f>
        <v>0.44071974339751901</v>
      </c>
      <c r="C15">
        <f>VLOOKUP($A15,'Case-2'!$A$1:$AN$21,37,FALSE)</f>
        <v>0.42863237278591082</v>
      </c>
      <c r="D15">
        <f>VLOOKUP($A15,'Case-3'!$A$1:$AN$21,37,FALSE)</f>
        <v>0.3876143240682548</v>
      </c>
      <c r="E15">
        <f>VLOOKUP($A15,'Case-4'!$A$1:$AN$21,37,FALSE)</f>
        <v>0.37278575404715042</v>
      </c>
      <c r="F15">
        <f>VLOOKUP($A15,'Case-5'!$A$1:$AN$21,37,FALSE)</f>
        <v>0.3522536370072788</v>
      </c>
      <c r="G15">
        <f>VLOOKUP($A15,'Case-6'!$A$1:$AN$21,37,FALSE)</f>
        <v>0.33850009971446771</v>
      </c>
    </row>
    <row r="16" spans="1:7">
      <c r="A16" s="2">
        <v>90</v>
      </c>
      <c r="B16">
        <f>VLOOKUP($A16,'Case-1'!$A$1:$AN$21,37,FALSE)</f>
        <v>0.43815929689033722</v>
      </c>
      <c r="C16">
        <f>VLOOKUP($A16,'Case-2'!$A$1:$AN$21,37,FALSE)</f>
        <v>0.42248324949794119</v>
      </c>
      <c r="D16">
        <f>VLOOKUP($A16,'Case-3'!$A$1:$AN$21,37,FALSE)</f>
        <v>0.3913429567582945</v>
      </c>
      <c r="E16">
        <f>VLOOKUP($A16,'Case-4'!$A$1:$AN$21,37,FALSE)</f>
        <v>0.36880493047638901</v>
      </c>
      <c r="F16">
        <f>VLOOKUP($A16,'Case-5'!$A$1:$AN$21,37,FALSE)</f>
        <v>0.35212978239452292</v>
      </c>
      <c r="G16">
        <f>VLOOKUP($A16,'Case-6'!$A$1:$AN$21,37,FALSE)</f>
        <v>0.33909127865535948</v>
      </c>
    </row>
    <row r="17" spans="1:7">
      <c r="A17" s="3">
        <v>96</v>
      </c>
      <c r="B17">
        <f>VLOOKUP($A17,'Case-1'!$A$1:$AN$21,37,FALSE)</f>
        <v>0.44952610905844481</v>
      </c>
      <c r="C17">
        <f>VLOOKUP($A17,'Case-2'!$A$1:$AN$21,37,FALSE)</f>
        <v>0.42690243219972462</v>
      </c>
      <c r="D17">
        <f>VLOOKUP($A17,'Case-3'!$A$1:$AN$21,37,FALSE)</f>
        <v>0.38841184429991232</v>
      </c>
      <c r="E17">
        <f>VLOOKUP($A17,'Case-4'!$A$1:$AN$21,37,FALSE)</f>
        <v>0.36690870911955831</v>
      </c>
      <c r="F17">
        <f>VLOOKUP($A17,'Case-5'!$A$1:$AN$21,37,FALSE)</f>
        <v>0.35570047270739508</v>
      </c>
      <c r="G17">
        <f>VLOOKUP($A17,'Case-6'!$A$1:$AN$21,37,FALSE)</f>
        <v>0.33879048959539909</v>
      </c>
    </row>
    <row r="18" spans="1:7">
      <c r="A18" s="2">
        <v>102</v>
      </c>
      <c r="B18">
        <f>VLOOKUP($A18,'Case-1'!$A$1:$AN$21,37,FALSE)</f>
        <v>0.44702358042532497</v>
      </c>
      <c r="C18">
        <f>VLOOKUP($A18,'Case-2'!$A$1:$AN$21,37,FALSE)</f>
        <v>0.42521498422134513</v>
      </c>
      <c r="D18">
        <f>VLOOKUP($A18,'Case-3'!$A$1:$AN$21,37,FALSE)</f>
        <v>0.39260890032750118</v>
      </c>
      <c r="E18">
        <f>VLOOKUP($A18,'Case-4'!$A$1:$AN$21,37,FALSE)</f>
        <v>0.36803824056817941</v>
      </c>
      <c r="F18">
        <f>VLOOKUP($A18,'Case-5'!$A$1:$AN$21,37,FALSE)</f>
        <v>0.3554290224583489</v>
      </c>
      <c r="G18">
        <f>VLOOKUP($A18,'Case-6'!$A$1:$AN$21,37,FALSE)</f>
        <v>0.3420791429697041</v>
      </c>
    </row>
    <row r="19" spans="1:7">
      <c r="A19" s="3">
        <v>108</v>
      </c>
      <c r="B19">
        <f>VLOOKUP($A19,'Case-1'!$A$1:$AN$21,37,FALSE)</f>
        <v>0.44620108858192242</v>
      </c>
      <c r="C19">
        <f>VLOOKUP($A19,'Case-2'!$A$1:$AN$21,37,FALSE)</f>
        <v>0.42955617854082367</v>
      </c>
      <c r="D19">
        <f>VLOOKUP($A19,'Case-3'!$A$1:$AN$21,37,FALSE)</f>
        <v>0.3870396412227412</v>
      </c>
      <c r="E19">
        <f>VLOOKUP($A19,'Case-4'!$A$1:$AN$21,37,FALSE)</f>
        <v>0.36860914009579487</v>
      </c>
      <c r="F19">
        <f>VLOOKUP($A19,'Case-5'!$A$1:$AN$21,37,FALSE)</f>
        <v>0.35249379298151817</v>
      </c>
      <c r="G19">
        <f>VLOOKUP($A19,'Case-6'!$A$1:$AN$21,37,FALSE)</f>
        <v>0.34191016146081837</v>
      </c>
    </row>
    <row r="20" spans="1:7">
      <c r="A20" s="2">
        <v>114</v>
      </c>
      <c r="B20">
        <f>VLOOKUP($A20,'Case-1'!$A$1:$AN$21,37,FALSE)</f>
        <v>0.44337289118952528</v>
      </c>
      <c r="C20">
        <f>VLOOKUP($A20,'Case-2'!$A$1:$AN$21,37,FALSE)</f>
        <v>0.42794809203504902</v>
      </c>
      <c r="D20">
        <f>VLOOKUP($A20,'Case-3'!$A$1:$AN$21,37,FALSE)</f>
        <v>0.39096435558253451</v>
      </c>
      <c r="E20">
        <f>VLOOKUP($A20,'Case-4'!$A$1:$AN$21,37,FALSE)</f>
        <v>0.36506760583983361</v>
      </c>
      <c r="F20">
        <f>VLOOKUP($A20,'Case-5'!$A$1:$AN$21,37,FALSE)</f>
        <v>0.34816313717865111</v>
      </c>
      <c r="G20">
        <f>VLOOKUP($A20,'Case-6'!$A$1:$AN$21,37,FALSE)</f>
        <v>0.33834072566278101</v>
      </c>
    </row>
    <row r="21" spans="1:7">
      <c r="A21" s="3">
        <v>120</v>
      </c>
      <c r="B21">
        <f>VLOOKUP($A21,'Case-1'!$A$1:$AN$21,37,FALSE)</f>
        <v>0.44695880367690699</v>
      </c>
      <c r="C21">
        <f>VLOOKUP($A21,'Case-2'!$A$1:$AN$21,37,FALSE)</f>
        <v>0.42961005323258172</v>
      </c>
      <c r="D21">
        <f>VLOOKUP($A21,'Case-3'!$A$1:$AN$21,37,FALSE)</f>
        <v>0.38540881894337697</v>
      </c>
      <c r="E21">
        <f>VLOOKUP($A21,'Case-4'!$A$1:$AN$21,37,FALSE)</f>
        <v>0.36867950297807522</v>
      </c>
      <c r="F21">
        <f>VLOOKUP($A21,'Case-5'!$A$1:$AN$21,37,FALSE)</f>
        <v>0.35614715180838119</v>
      </c>
      <c r="G21">
        <f>VLOOKUP($A21,'Case-6'!$A$1:$AN$21,37,FALSE)</f>
        <v>0.3403444289196535</v>
      </c>
    </row>
    <row r="22" spans="1:7">
      <c r="B22">
        <f>AVERAGE(B2:B21)</f>
        <v>0.44036275927373392</v>
      </c>
      <c r="C22">
        <f t="shared" ref="C22:G22" si="0">AVERAGE(C2:C21)</f>
        <v>0.42328517603965443</v>
      </c>
      <c r="D22">
        <f t="shared" si="0"/>
        <v>0.38423253013983827</v>
      </c>
      <c r="E22">
        <f t="shared" si="0"/>
        <v>0.36046140320496983</v>
      </c>
      <c r="F22">
        <f t="shared" si="0"/>
        <v>0.35010767703664969</v>
      </c>
      <c r="G22">
        <f t="shared" si="0"/>
        <v>0.33550460906038498</v>
      </c>
    </row>
  </sheetData>
  <phoneticPr fontId="2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4EFE-DDF0-4774-97EE-4B944D01571A}">
  <dimension ref="A1:G22"/>
  <sheetViews>
    <sheetView tabSelected="1" workbookViewId="0">
      <selection activeCell="C24" sqref="C24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VLOOKUP($A2,'Case-1'!$A$1:$AN$21,38,FALSE)</f>
        <v>0.1174616378473137</v>
      </c>
      <c r="C2">
        <f>VLOOKUP($A2,'Case-2'!$A$1:$AN$21,38,FALSE)</f>
        <v>0.141301860302539</v>
      </c>
      <c r="D2">
        <f>VLOOKUP($A2,'Case-3'!$A$1:$AN$21,38,FALSE)</f>
        <v>0.1054946673544877</v>
      </c>
      <c r="E2">
        <f>VLOOKUP($A2,'Case-4'!$A$1:$AN$21,38,FALSE)</f>
        <v>4.0823568833828011E-2</v>
      </c>
      <c r="F2">
        <f>VLOOKUP($A2,'Case-5'!$A$1:$AN$21,38,FALSE)</f>
        <v>9.8872440991873312E-2</v>
      </c>
      <c r="G2">
        <f>VLOOKUP($A2,'Case-6'!$A$1:$AN$21,38,FALSE)</f>
        <v>1.26819368131229E-2</v>
      </c>
    </row>
    <row r="3" spans="1:7">
      <c r="A3" s="3">
        <v>12</v>
      </c>
      <c r="B3">
        <f>VLOOKUP($A3,'Case-1'!$A$1:$AN$21,38,FALSE)</f>
        <v>6.4453885708269404E-2</v>
      </c>
      <c r="C3">
        <f>VLOOKUP($A3,'Case-2'!$A$1:$AN$21,38,FALSE)</f>
        <v>7.5167284575625756E-2</v>
      </c>
      <c r="D3">
        <f>VLOOKUP($A3,'Case-3'!$A$1:$AN$21,38,FALSE)</f>
        <v>4.5965383075037357E-2</v>
      </c>
      <c r="E3">
        <f>VLOOKUP($A3,'Case-4'!$A$1:$AN$21,38,FALSE)</f>
        <v>3.1585628653781998E-2</v>
      </c>
      <c r="F3">
        <f>VLOOKUP($A3,'Case-5'!$A$1:$AN$21,38,FALSE)</f>
        <v>1.6583648421230921E-2</v>
      </c>
      <c r="G3">
        <f>VLOOKUP($A3,'Case-6'!$A$1:$AN$21,38,FALSE)</f>
        <v>8.7357715710929661E-3</v>
      </c>
    </row>
    <row r="4" spans="1:7">
      <c r="A4" s="2">
        <v>18</v>
      </c>
      <c r="B4">
        <f>VLOOKUP($A4,'Case-1'!$A$1:$AN$21,38,FALSE)</f>
        <v>5.868936408269719E-2</v>
      </c>
      <c r="C4">
        <f>VLOOKUP($A4,'Case-2'!$A$1:$AN$21,38,FALSE)</f>
        <v>6.0732364183102627E-2</v>
      </c>
      <c r="D4">
        <f>VLOOKUP($A4,'Case-3'!$A$1:$AN$21,38,FALSE)</f>
        <v>4.1410577792794653E-2</v>
      </c>
      <c r="E4">
        <f>VLOOKUP($A4,'Case-4'!$A$1:$AN$21,38,FALSE)</f>
        <v>3.1449203162456321E-2</v>
      </c>
      <c r="F4">
        <f>VLOOKUP($A4,'Case-5'!$A$1:$AN$21,38,FALSE)</f>
        <v>1.9418574934853439E-2</v>
      </c>
      <c r="G4">
        <f>VLOOKUP($A4,'Case-6'!$A$1:$AN$21,38,FALSE)</f>
        <v>9.9669581406574958E-3</v>
      </c>
    </row>
    <row r="5" spans="1:7">
      <c r="A5" s="3">
        <v>24</v>
      </c>
      <c r="B5">
        <f>VLOOKUP($A5,'Case-1'!$A$1:$AN$21,38,FALSE)</f>
        <v>4.6734154337586299E-2</v>
      </c>
      <c r="C5">
        <f>VLOOKUP($A5,'Case-2'!$A$1:$AN$21,38,FALSE)</f>
        <v>3.8066257799621431E-2</v>
      </c>
      <c r="D5">
        <f>VLOOKUP($A5,'Case-3'!$A$1:$AN$21,38,FALSE)</f>
        <v>3.3965055659613101E-2</v>
      </c>
      <c r="E5">
        <f>VLOOKUP($A5,'Case-4'!$A$1:$AN$21,38,FALSE)</f>
        <v>3.0536927275733129E-2</v>
      </c>
      <c r="F5">
        <f>VLOOKUP($A5,'Case-5'!$A$1:$AN$21,38,FALSE)</f>
        <v>1.625065887977948E-2</v>
      </c>
      <c r="G5">
        <f>VLOOKUP($A5,'Case-6'!$A$1:$AN$21,38,FALSE)</f>
        <v>7.4690303580739756E-3</v>
      </c>
    </row>
    <row r="6" spans="1:7">
      <c r="A6" s="2">
        <v>30</v>
      </c>
      <c r="B6">
        <f>VLOOKUP($A6,'Case-1'!$A$1:$AN$21,38,FALSE)</f>
        <v>4.5236335486267383E-2</v>
      </c>
      <c r="C6">
        <f>VLOOKUP($A6,'Case-2'!$A$1:$AN$21,38,FALSE)</f>
        <v>4.328227476439396E-2</v>
      </c>
      <c r="D6">
        <f>VLOOKUP($A6,'Case-3'!$A$1:$AN$21,38,FALSE)</f>
        <v>3.344158529457851E-2</v>
      </c>
      <c r="E6">
        <f>VLOOKUP($A6,'Case-4'!$A$1:$AN$21,38,FALSE)</f>
        <v>2.4943340019421521E-2</v>
      </c>
      <c r="F6">
        <f>VLOOKUP($A6,'Case-5'!$A$1:$AN$21,38,FALSE)</f>
        <v>1.8577299131370191E-2</v>
      </c>
      <c r="G6">
        <f>VLOOKUP($A6,'Case-6'!$A$1:$AN$21,38,FALSE)</f>
        <v>1.0478495863282519E-2</v>
      </c>
    </row>
    <row r="7" spans="1:7">
      <c r="A7" s="3">
        <v>36</v>
      </c>
      <c r="B7">
        <f>VLOOKUP($A7,'Case-1'!$A$1:$AN$21,38,FALSE)</f>
        <v>3.5655143675717781E-2</v>
      </c>
      <c r="C7">
        <f>VLOOKUP($A7,'Case-2'!$A$1:$AN$21,38,FALSE)</f>
        <v>3.5271452751402817E-2</v>
      </c>
      <c r="D7">
        <f>VLOOKUP($A7,'Case-3'!$A$1:$AN$21,38,FALSE)</f>
        <v>2.87011155849589E-2</v>
      </c>
      <c r="E7">
        <f>VLOOKUP($A7,'Case-4'!$A$1:$AN$21,38,FALSE)</f>
        <v>2.2407248905091871E-2</v>
      </c>
      <c r="F7">
        <f>VLOOKUP($A7,'Case-5'!$A$1:$AN$21,38,FALSE)</f>
        <v>1.405524270362609E-2</v>
      </c>
      <c r="G7">
        <f>VLOOKUP($A7,'Case-6'!$A$1:$AN$21,38,FALSE)</f>
        <v>9.048661018394898E-3</v>
      </c>
    </row>
    <row r="8" spans="1:7">
      <c r="A8" s="2">
        <v>42</v>
      </c>
      <c r="B8">
        <f>VLOOKUP($A8,'Case-1'!$A$1:$AN$21,38,FALSE)</f>
        <v>2.9764515493612399E-2</v>
      </c>
      <c r="C8">
        <f>VLOOKUP($A8,'Case-2'!$A$1:$AN$21,38,FALSE)</f>
        <v>3.6088408732842601E-2</v>
      </c>
      <c r="D8">
        <f>VLOOKUP($A8,'Case-3'!$A$1:$AN$21,38,FALSE)</f>
        <v>2.56608436661795E-2</v>
      </c>
      <c r="E8">
        <f>VLOOKUP($A8,'Case-4'!$A$1:$AN$21,38,FALSE)</f>
        <v>2.1839410951112689E-2</v>
      </c>
      <c r="F8">
        <f>VLOOKUP($A8,'Case-5'!$A$1:$AN$21,38,FALSE)</f>
        <v>1.556598463738927E-2</v>
      </c>
      <c r="G8">
        <f>VLOOKUP($A8,'Case-6'!$A$1:$AN$21,38,FALSE)</f>
        <v>7.8728749137637073E-3</v>
      </c>
    </row>
    <row r="9" spans="1:7">
      <c r="A9" s="3">
        <v>48</v>
      </c>
      <c r="B9">
        <f>VLOOKUP($A9,'Case-1'!$A$1:$AN$21,38,FALSE)</f>
        <v>3.285307027079077E-2</v>
      </c>
      <c r="C9">
        <f>VLOOKUP($A9,'Case-2'!$A$1:$AN$21,38,FALSE)</f>
        <v>3.3458949615761888E-2</v>
      </c>
      <c r="D9">
        <f>VLOOKUP($A9,'Case-3'!$A$1:$AN$21,38,FALSE)</f>
        <v>3.026776387807327E-2</v>
      </c>
      <c r="E9">
        <f>VLOOKUP($A9,'Case-4'!$A$1:$AN$21,38,FALSE)</f>
        <v>2.2334211348014759E-2</v>
      </c>
      <c r="F9">
        <f>VLOOKUP($A9,'Case-5'!$A$1:$AN$21,38,FALSE)</f>
        <v>1.627480042038933E-2</v>
      </c>
      <c r="G9">
        <f>VLOOKUP($A9,'Case-6'!$A$1:$AN$21,38,FALSE)</f>
        <v>9.2626348263183667E-3</v>
      </c>
    </row>
    <row r="10" spans="1:7">
      <c r="A10" s="2">
        <v>54</v>
      </c>
      <c r="B10">
        <f>VLOOKUP($A10,'Case-1'!$A$1:$AN$21,38,FALSE)</f>
        <v>3.4217547721438167E-2</v>
      </c>
      <c r="C10">
        <f>VLOOKUP($A10,'Case-2'!$A$1:$AN$21,38,FALSE)</f>
        <v>3.2885147178629053E-2</v>
      </c>
      <c r="D10">
        <f>VLOOKUP($A10,'Case-3'!$A$1:$AN$21,38,FALSE)</f>
        <v>2.550596693874917E-2</v>
      </c>
      <c r="E10">
        <f>VLOOKUP($A10,'Case-4'!$A$1:$AN$21,38,FALSE)</f>
        <v>1.8828251997710949E-2</v>
      </c>
      <c r="F10">
        <f>VLOOKUP($A10,'Case-5'!$A$1:$AN$21,38,FALSE)</f>
        <v>1.374035814738251E-2</v>
      </c>
      <c r="G10">
        <f>VLOOKUP($A10,'Case-6'!$A$1:$AN$21,38,FALSE)</f>
        <v>1.031027753819265E-2</v>
      </c>
    </row>
    <row r="11" spans="1:7">
      <c r="A11" s="3">
        <v>60</v>
      </c>
      <c r="B11">
        <f>VLOOKUP($A11,'Case-1'!$A$1:$AN$21,38,FALSE)</f>
        <v>3.3884586637769859E-2</v>
      </c>
      <c r="C11">
        <f>VLOOKUP($A11,'Case-2'!$A$1:$AN$21,38,FALSE)</f>
        <v>3.3641123851883177E-2</v>
      </c>
      <c r="D11">
        <f>VLOOKUP($A11,'Case-3'!$A$1:$AN$21,38,FALSE)</f>
        <v>2.4225629560120299E-2</v>
      </c>
      <c r="E11">
        <f>VLOOKUP($A11,'Case-4'!$A$1:$AN$21,38,FALSE)</f>
        <v>1.766445558938556E-2</v>
      </c>
      <c r="F11">
        <f>VLOOKUP($A11,'Case-5'!$A$1:$AN$21,38,FALSE)</f>
        <v>1.3314300069484711E-2</v>
      </c>
      <c r="G11">
        <f>VLOOKUP($A11,'Case-6'!$A$1:$AN$21,38,FALSE)</f>
        <v>6.8368713958521874E-3</v>
      </c>
    </row>
    <row r="12" spans="1:7">
      <c r="A12" s="2">
        <v>66</v>
      </c>
      <c r="B12">
        <f>VLOOKUP($A12,'Case-1'!$A$1:$AN$21,38,FALSE)</f>
        <v>2.750726894208071E-2</v>
      </c>
      <c r="C12">
        <f>VLOOKUP($A12,'Case-2'!$A$1:$AN$21,38,FALSE)</f>
        <v>3.4124739966016393E-2</v>
      </c>
      <c r="D12">
        <f>VLOOKUP($A12,'Case-3'!$A$1:$AN$21,38,FALSE)</f>
        <v>2.5335494100768789E-2</v>
      </c>
      <c r="E12">
        <f>VLOOKUP($A12,'Case-4'!$A$1:$AN$21,38,FALSE)</f>
        <v>2.0151190169509271E-2</v>
      </c>
      <c r="F12">
        <f>VLOOKUP($A12,'Case-5'!$A$1:$AN$21,38,FALSE)</f>
        <v>1.505111450498055E-2</v>
      </c>
      <c r="G12">
        <f>VLOOKUP($A12,'Case-6'!$A$1:$AN$21,38,FALSE)</f>
        <v>8.9436939987845559E-3</v>
      </c>
    </row>
    <row r="13" spans="1:7">
      <c r="A13" s="3">
        <v>72</v>
      </c>
      <c r="B13">
        <f>VLOOKUP($A13,'Case-1'!$A$1:$AN$21,38,FALSE)</f>
        <v>2.7497200612815739E-2</v>
      </c>
      <c r="C13">
        <f>VLOOKUP($A13,'Case-2'!$A$1:$AN$21,38,FALSE)</f>
        <v>3.4380941030605759E-2</v>
      </c>
      <c r="D13">
        <f>VLOOKUP($A13,'Case-3'!$A$1:$AN$21,38,FALSE)</f>
        <v>2.313077327330745E-2</v>
      </c>
      <c r="E13">
        <f>VLOOKUP($A13,'Case-4'!$A$1:$AN$21,38,FALSE)</f>
        <v>1.972249655648891E-2</v>
      </c>
      <c r="F13">
        <f>VLOOKUP($A13,'Case-5'!$A$1:$AN$21,38,FALSE)</f>
        <v>1.473696436490169E-2</v>
      </c>
      <c r="G13">
        <f>VLOOKUP($A13,'Case-6'!$A$1:$AN$21,38,FALSE)</f>
        <v>7.049479007770738E-3</v>
      </c>
    </row>
    <row r="14" spans="1:7">
      <c r="A14" s="2">
        <v>78</v>
      </c>
      <c r="B14">
        <f>VLOOKUP($A14,'Case-1'!$A$1:$AN$21,38,FALSE)</f>
        <v>2.9889955969175361E-2</v>
      </c>
      <c r="C14">
        <f>VLOOKUP($A14,'Case-2'!$A$1:$AN$21,38,FALSE)</f>
        <v>3.1874495438857162E-2</v>
      </c>
      <c r="D14">
        <f>VLOOKUP($A14,'Case-3'!$A$1:$AN$21,38,FALSE)</f>
        <v>2.2943242355983311E-2</v>
      </c>
      <c r="E14">
        <f>VLOOKUP($A14,'Case-4'!$A$1:$AN$21,38,FALSE)</f>
        <v>2.0684278556388401E-2</v>
      </c>
      <c r="F14">
        <f>VLOOKUP($A14,'Case-5'!$A$1:$AN$21,38,FALSE)</f>
        <v>1.2058011880160939E-2</v>
      </c>
      <c r="G14">
        <f>VLOOKUP($A14,'Case-6'!$A$1:$AN$21,38,FALSE)</f>
        <v>8.7709384152809735E-3</v>
      </c>
    </row>
    <row r="15" spans="1:7">
      <c r="A15" s="3">
        <v>84</v>
      </c>
      <c r="B15">
        <f>VLOOKUP($A15,'Case-1'!$A$1:$AN$21,38,FALSE)</f>
        <v>2.5888846569277171E-2</v>
      </c>
      <c r="C15">
        <f>VLOOKUP($A15,'Case-2'!$A$1:$AN$21,38,FALSE)</f>
        <v>3.114212711301417E-2</v>
      </c>
      <c r="D15">
        <f>VLOOKUP($A15,'Case-3'!$A$1:$AN$21,38,FALSE)</f>
        <v>2.333079816271659E-2</v>
      </c>
      <c r="E15">
        <f>VLOOKUP($A15,'Case-4'!$A$1:$AN$21,38,FALSE)</f>
        <v>1.9181677566551682E-2</v>
      </c>
      <c r="F15">
        <f>VLOOKUP($A15,'Case-5'!$A$1:$AN$21,38,FALSE)</f>
        <v>1.3916201094085459E-2</v>
      </c>
      <c r="G15">
        <f>VLOOKUP($A15,'Case-6'!$A$1:$AN$21,38,FALSE)</f>
        <v>8.1790297562492776E-3</v>
      </c>
    </row>
    <row r="16" spans="1:7">
      <c r="A16" s="2">
        <v>90</v>
      </c>
      <c r="B16">
        <f>VLOOKUP($A16,'Case-1'!$A$1:$AN$21,38,FALSE)</f>
        <v>3.0723037135290079E-2</v>
      </c>
      <c r="C16">
        <f>VLOOKUP($A16,'Case-2'!$A$1:$AN$21,38,FALSE)</f>
        <v>2.97233208096578E-2</v>
      </c>
      <c r="D16">
        <f>VLOOKUP($A16,'Case-3'!$A$1:$AN$21,38,FALSE)</f>
        <v>2.5442931329801431E-2</v>
      </c>
      <c r="E16">
        <f>VLOOKUP($A16,'Case-4'!$A$1:$AN$21,38,FALSE)</f>
        <v>1.7735062435498251E-2</v>
      </c>
      <c r="F16">
        <f>VLOOKUP($A16,'Case-5'!$A$1:$AN$21,38,FALSE)</f>
        <v>1.207588436220627E-2</v>
      </c>
      <c r="G16">
        <f>VLOOKUP($A16,'Case-6'!$A$1:$AN$21,38,FALSE)</f>
        <v>6.6429372511801633E-3</v>
      </c>
    </row>
    <row r="17" spans="1:7">
      <c r="A17" s="3">
        <v>96</v>
      </c>
      <c r="B17">
        <f>VLOOKUP($A17,'Case-1'!$A$1:$AN$21,38,FALSE)</f>
        <v>2.2299202969913341E-2</v>
      </c>
      <c r="C17">
        <f>VLOOKUP($A17,'Case-2'!$A$1:$AN$21,38,FALSE)</f>
        <v>2.9296334228810499E-2</v>
      </c>
      <c r="D17">
        <f>VLOOKUP($A17,'Case-3'!$A$1:$AN$21,38,FALSE)</f>
        <v>2.3898317219835291E-2</v>
      </c>
      <c r="E17">
        <f>VLOOKUP($A17,'Case-4'!$A$1:$AN$21,38,FALSE)</f>
        <v>1.543289382124363E-2</v>
      </c>
      <c r="F17">
        <f>VLOOKUP($A17,'Case-5'!$A$1:$AN$21,38,FALSE)</f>
        <v>1.75599292196102E-2</v>
      </c>
      <c r="G17">
        <f>VLOOKUP($A17,'Case-6'!$A$1:$AN$21,38,FALSE)</f>
        <v>6.4894405061098077E-3</v>
      </c>
    </row>
    <row r="18" spans="1:7">
      <c r="A18" s="2">
        <v>102</v>
      </c>
      <c r="B18">
        <f>VLOOKUP($A18,'Case-1'!$A$1:$AN$21,38,FALSE)</f>
        <v>2.68607747121089E-2</v>
      </c>
      <c r="C18">
        <f>VLOOKUP($A18,'Case-2'!$A$1:$AN$21,38,FALSE)</f>
        <v>2.5827491411151909E-2</v>
      </c>
      <c r="D18">
        <f>VLOOKUP($A18,'Case-3'!$A$1:$AN$21,38,FALSE)</f>
        <v>2.5298972572911471E-2</v>
      </c>
      <c r="E18">
        <f>VLOOKUP($A18,'Case-4'!$A$1:$AN$21,38,FALSE)</f>
        <v>1.6655243720349652E-2</v>
      </c>
      <c r="F18">
        <f>VLOOKUP($A18,'Case-5'!$A$1:$AN$21,38,FALSE)</f>
        <v>1.549668373767836E-2</v>
      </c>
      <c r="G18">
        <f>VLOOKUP($A18,'Case-6'!$A$1:$AN$21,38,FALSE)</f>
        <v>8.5396412024043508E-3</v>
      </c>
    </row>
    <row r="19" spans="1:7">
      <c r="A19" s="3">
        <v>108</v>
      </c>
      <c r="B19">
        <f>VLOOKUP($A19,'Case-1'!$A$1:$AN$21,38,FALSE)</f>
        <v>2.704122429687953E-2</v>
      </c>
      <c r="C19">
        <f>VLOOKUP($A19,'Case-2'!$A$1:$AN$21,38,FALSE)</f>
        <v>3.060046465452081E-2</v>
      </c>
      <c r="D19">
        <f>VLOOKUP($A19,'Case-3'!$A$1:$AN$21,38,FALSE)</f>
        <v>2.3409025014125239E-2</v>
      </c>
      <c r="E19">
        <f>VLOOKUP($A19,'Case-4'!$A$1:$AN$21,38,FALSE)</f>
        <v>1.725338153434415E-2</v>
      </c>
      <c r="F19">
        <f>VLOOKUP($A19,'Case-5'!$A$1:$AN$21,38,FALSE)</f>
        <v>1.142821739115692E-2</v>
      </c>
      <c r="G19">
        <f>VLOOKUP($A19,'Case-6'!$A$1:$AN$21,38,FALSE)</f>
        <v>7.3707766121569726E-3</v>
      </c>
    </row>
    <row r="20" spans="1:7">
      <c r="A20" s="2">
        <v>114</v>
      </c>
      <c r="B20">
        <f>VLOOKUP($A20,'Case-1'!$A$1:$AN$21,38,FALSE)</f>
        <v>2.761829196489857E-2</v>
      </c>
      <c r="C20">
        <f>VLOOKUP($A20,'Case-2'!$A$1:$AN$21,38,FALSE)</f>
        <v>2.9091883123717362E-2</v>
      </c>
      <c r="D20">
        <f>VLOOKUP($A20,'Case-3'!$A$1:$AN$21,38,FALSE)</f>
        <v>2.3120839864162929E-2</v>
      </c>
      <c r="E20">
        <f>VLOOKUP($A20,'Case-4'!$A$1:$AN$21,38,FALSE)</f>
        <v>1.8311170835074591E-2</v>
      </c>
      <c r="F20">
        <f>VLOOKUP($A20,'Case-5'!$A$1:$AN$21,38,FALSE)</f>
        <v>7.3518491143375704E-3</v>
      </c>
      <c r="G20">
        <f>VLOOKUP($A20,'Case-6'!$A$1:$AN$21,38,FALSE)</f>
        <v>5.9142348950964293E-3</v>
      </c>
    </row>
    <row r="21" spans="1:7">
      <c r="A21" s="3">
        <v>120</v>
      </c>
      <c r="B21">
        <f>VLOOKUP($A21,'Case-1'!$A$1:$AN$21,38,FALSE)</f>
        <v>2.6533131584840369E-2</v>
      </c>
      <c r="C21">
        <f>VLOOKUP($A21,'Case-2'!$A$1:$AN$21,38,FALSE)</f>
        <v>3.2033909660999622E-2</v>
      </c>
      <c r="D21">
        <f>VLOOKUP($A21,'Case-3'!$A$1:$AN$21,38,FALSE)</f>
        <v>2.0322076419993559E-2</v>
      </c>
      <c r="E21">
        <f>VLOOKUP($A21,'Case-4'!$A$1:$AN$21,38,FALSE)</f>
        <v>1.9508379863033672E-2</v>
      </c>
      <c r="F21">
        <f>VLOOKUP($A21,'Case-5'!$A$1:$AN$21,38,FALSE)</f>
        <v>1.276383196507018E-2</v>
      </c>
      <c r="G21">
        <f>VLOOKUP($A21,'Case-6'!$A$1:$AN$21,38,FALSE)</f>
        <v>6.4149840600723112E-3</v>
      </c>
    </row>
    <row r="22" spans="1:7">
      <c r="B22">
        <f>AVERAGE(B2:B21)</f>
        <v>3.8540458800937136E-2</v>
      </c>
      <c r="C22">
        <f t="shared" ref="C22:G22" si="0">AVERAGE(C2:C21)</f>
        <v>4.189954155965768E-2</v>
      </c>
      <c r="D22">
        <f t="shared" si="0"/>
        <v>3.1543552955909923E-2</v>
      </c>
      <c r="E22">
        <f t="shared" si="0"/>
        <v>2.2352401089750954E-2</v>
      </c>
      <c r="F22">
        <f t="shared" si="0"/>
        <v>1.8754599798578367E-2</v>
      </c>
      <c r="G22">
        <f t="shared" si="0"/>
        <v>8.3489334071928639E-3</v>
      </c>
    </row>
  </sheetData>
  <phoneticPr fontId="2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E40A-094A-4D09-9C56-EF71F18B48A2}">
  <dimension ref="A1:G21"/>
  <sheetViews>
    <sheetView workbookViewId="0">
      <selection activeCell="J10" sqref="J10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VLOOKUP($A2,'Case-1'!$A$1:$AN$21,39,FALSE)</f>
        <v>5.942801282051282E-2</v>
      </c>
      <c r="C2">
        <f>VLOOKUP($A2,'Case-2'!$A$1:$AN$21,39,FALSE)</f>
        <v>5.8600564102564097E-2</v>
      </c>
      <c r="D2">
        <f>VLOOKUP($A2,'Case-3'!$A$1:$AN$21,39,FALSE)</f>
        <v>0.1623540042735043</v>
      </c>
      <c r="E2">
        <f>VLOOKUP($A2,'Case-4'!$A$1:$AN$21,39,FALSE)</f>
        <v>0.2155351449275362</v>
      </c>
      <c r="F2">
        <f>VLOOKUP($A2,'Case-5'!$A$1:$AN$21,39,FALSE)</f>
        <v>0.13406644509476029</v>
      </c>
      <c r="G2">
        <f>VLOOKUP($A2,'Case-6'!$A$1:$AN$21,39,FALSE)</f>
        <v>0.5</v>
      </c>
    </row>
    <row r="3" spans="1:7">
      <c r="A3" s="3">
        <v>12</v>
      </c>
      <c r="B3">
        <f>VLOOKUP($A3,'Case-1'!$A$1:$AN$21,39,FALSE)</f>
        <v>7.0406645422012012E-2</v>
      </c>
      <c r="C3">
        <f>VLOOKUP($A3,'Case-2'!$A$1:$AN$21,39,FALSE)</f>
        <v>6.6396324371021845E-2</v>
      </c>
      <c r="D3">
        <f>VLOOKUP($A3,'Case-3'!$A$1:$AN$21,39,FALSE)</f>
        <v>0.12097023364485569</v>
      </c>
      <c r="E3">
        <f>VLOOKUP($A3,'Case-4'!$A$1:$AN$21,39,FALSE)</f>
        <v>0.19285449313513819</v>
      </c>
      <c r="F3">
        <f>VLOOKUP($A3,'Case-5'!$A$1:$AN$21,39,FALSE)</f>
        <v>0.32364966777408632</v>
      </c>
      <c r="G3">
        <f>VLOOKUP($A3,'Case-6'!$A$1:$AN$21,39,FALSE)</f>
        <v>0.5</v>
      </c>
    </row>
    <row r="4" spans="1:7">
      <c r="A4" s="2">
        <v>18</v>
      </c>
      <c r="B4">
        <f>VLOOKUP($A4,'Case-1'!$A$1:$AN$21,39,FALSE)</f>
        <v>6.6849540209754366E-2</v>
      </c>
      <c r="C4">
        <f>VLOOKUP($A4,'Case-2'!$A$1:$AN$21,39,FALSE)</f>
        <v>7.9723634358647377E-2</v>
      </c>
      <c r="D4">
        <f>VLOOKUP($A4,'Case-3'!$A$1:$AN$21,39,FALSE)</f>
        <v>0.15062798445197589</v>
      </c>
      <c r="E4">
        <f>VLOOKUP($A4,'Case-4'!$A$1:$AN$21,39,FALSE)</f>
        <v>0.20235045959515269</v>
      </c>
      <c r="F4">
        <f>VLOOKUP($A4,'Case-5'!$A$1:$AN$21,39,FALSE)</f>
        <v>0.28771044011941099</v>
      </c>
      <c r="G4">
        <f>VLOOKUP($A4,'Case-6'!$A$1:$AN$21,39,FALSE)</f>
        <v>0.41364747284878872</v>
      </c>
    </row>
    <row r="5" spans="1:7">
      <c r="A5" s="3">
        <v>24</v>
      </c>
      <c r="B5">
        <f>VLOOKUP($A5,'Case-1'!$A$1:$AN$21,39,FALSE)</f>
        <v>7.3817655782898936E-2</v>
      </c>
      <c r="C5">
        <f>VLOOKUP($A5,'Case-2'!$A$1:$AN$21,39,FALSE)</f>
        <v>8.200400401855705E-2</v>
      </c>
      <c r="D5">
        <f>VLOOKUP($A5,'Case-3'!$A$1:$AN$21,39,FALSE)</f>
        <v>0.1377345942118402</v>
      </c>
      <c r="E5">
        <f>VLOOKUP($A5,'Case-4'!$A$1:$AN$21,39,FALSE)</f>
        <v>0.21147380421412401</v>
      </c>
      <c r="F5">
        <f>VLOOKUP($A5,'Case-5'!$A$1:$AN$21,39,FALSE)</f>
        <v>0.28895640725252397</v>
      </c>
      <c r="G5">
        <f>VLOOKUP($A5,'Case-6'!$A$1:$AN$21,39,FALSE)</f>
        <v>0.43897349397590357</v>
      </c>
    </row>
    <row r="6" spans="1:7">
      <c r="A6" s="2">
        <v>30</v>
      </c>
      <c r="B6">
        <f>VLOOKUP($A6,'Case-1'!$A$1:$AN$21,39,FALSE)</f>
        <v>7.100318423086345E-2</v>
      </c>
      <c r="C6">
        <f>VLOOKUP($A6,'Case-2'!$A$1:$AN$21,39,FALSE)</f>
        <v>8.3801803920261972E-2</v>
      </c>
      <c r="D6">
        <f>VLOOKUP($A6,'Case-3'!$A$1:$AN$21,39,FALSE)</f>
        <v>0.14404918828507121</v>
      </c>
      <c r="E6">
        <f>VLOOKUP($A6,'Case-4'!$A$1:$AN$21,39,FALSE)</f>
        <v>0.2115740890928873</v>
      </c>
      <c r="F6">
        <f>VLOOKUP($A6,'Case-5'!$A$1:$AN$21,39,FALSE)</f>
        <v>0.2844445133815679</v>
      </c>
      <c r="G6">
        <f>VLOOKUP($A6,'Case-6'!$A$1:$AN$21,39,FALSE)</f>
        <v>0.39181485985591269</v>
      </c>
    </row>
    <row r="7" spans="1:7">
      <c r="A7" s="3">
        <v>36</v>
      </c>
      <c r="B7">
        <f>VLOOKUP($A7,'Case-1'!$A$1:$AN$21,39,FALSE)</f>
        <v>7.5335665022994866E-2</v>
      </c>
      <c r="C7">
        <f>VLOOKUP($A7,'Case-2'!$A$1:$AN$21,39,FALSE)</f>
        <v>9.0711778205246577E-2</v>
      </c>
      <c r="D7">
        <f>VLOOKUP($A7,'Case-3'!$A$1:$AN$21,39,FALSE)</f>
        <v>0.13875238922414829</v>
      </c>
      <c r="E7">
        <f>VLOOKUP($A7,'Case-4'!$A$1:$AN$21,39,FALSE)</f>
        <v>0.20314046034548841</v>
      </c>
      <c r="F7">
        <f>VLOOKUP($A7,'Case-5'!$A$1:$AN$21,39,FALSE)</f>
        <v>0.28354502878887011</v>
      </c>
      <c r="G7">
        <f>VLOOKUP($A7,'Case-6'!$A$1:$AN$21,39,FALSE)</f>
        <v>0.4088493305148152</v>
      </c>
    </row>
    <row r="8" spans="1:7">
      <c r="A8" s="2">
        <v>42</v>
      </c>
      <c r="B8">
        <f>VLOOKUP($A8,'Case-1'!$A$1:$AN$21,39,FALSE)</f>
        <v>7.8988825090474987E-2</v>
      </c>
      <c r="C8">
        <f>VLOOKUP($A8,'Case-2'!$A$1:$AN$21,39,FALSE)</f>
        <v>8.6952400777212946E-2</v>
      </c>
      <c r="D8">
        <f>VLOOKUP($A8,'Case-3'!$A$1:$AN$21,39,FALSE)</f>
        <v>0.1449944364713332</v>
      </c>
      <c r="E8">
        <f>VLOOKUP($A8,'Case-4'!$A$1:$AN$21,39,FALSE)</f>
        <v>0.20120642002726921</v>
      </c>
      <c r="F8">
        <f>VLOOKUP($A8,'Case-5'!$A$1:$AN$21,39,FALSE)</f>
        <v>0.2866067746985515</v>
      </c>
      <c r="G8">
        <f>VLOOKUP($A8,'Case-6'!$A$1:$AN$21,39,FALSE)</f>
        <v>0.41151959877767491</v>
      </c>
    </row>
    <row r="9" spans="1:7">
      <c r="A9" s="3">
        <v>48</v>
      </c>
      <c r="B9">
        <f>VLOOKUP($A9,'Case-1'!$A$1:$AN$21,39,FALSE)</f>
        <v>7.138926386328022E-2</v>
      </c>
      <c r="C9">
        <f>VLOOKUP($A9,'Case-2'!$A$1:$AN$21,39,FALSE)</f>
        <v>9.0361944083190843E-2</v>
      </c>
      <c r="D9">
        <f>VLOOKUP($A9,'Case-3'!$A$1:$AN$21,39,FALSE)</f>
        <v>0.14363188657867981</v>
      </c>
      <c r="E9">
        <f>VLOOKUP($A9,'Case-4'!$A$1:$AN$21,39,FALSE)</f>
        <v>0.2027582556147853</v>
      </c>
      <c r="F9">
        <f>VLOOKUP($A9,'Case-5'!$A$1:$AN$21,39,FALSE)</f>
        <v>0.29087218350314359</v>
      </c>
      <c r="G9">
        <f>VLOOKUP($A9,'Case-6'!$A$1:$AN$21,39,FALSE)</f>
        <v>0.38588102768468352</v>
      </c>
    </row>
    <row r="10" spans="1:7">
      <c r="A10" s="2">
        <v>54</v>
      </c>
      <c r="B10">
        <f>VLOOKUP($A10,'Case-1'!$A$1:$AN$21,39,FALSE)</f>
        <v>7.4244071859625102E-2</v>
      </c>
      <c r="C10">
        <f>VLOOKUP($A10,'Case-2'!$A$1:$AN$21,39,FALSE)</f>
        <v>8.3126059333283056E-2</v>
      </c>
      <c r="D10">
        <f>VLOOKUP($A10,'Case-3'!$A$1:$AN$21,39,FALSE)</f>
        <v>0.1407388189179781</v>
      </c>
      <c r="E10">
        <f>VLOOKUP($A10,'Case-4'!$A$1:$AN$21,39,FALSE)</f>
        <v>0.20300519431053679</v>
      </c>
      <c r="F10">
        <f>VLOOKUP($A10,'Case-5'!$A$1:$AN$21,39,FALSE)</f>
        <v>0.28653321505639051</v>
      </c>
      <c r="G10">
        <f>VLOOKUP($A10,'Case-6'!$A$1:$AN$21,39,FALSE)</f>
        <v>0.40799420462028863</v>
      </c>
    </row>
    <row r="11" spans="1:7">
      <c r="A11" s="3">
        <v>60</v>
      </c>
      <c r="B11">
        <f>VLOOKUP($A11,'Case-1'!$A$1:$AN$21,39,FALSE)</f>
        <v>7.2723852512074333E-2</v>
      </c>
      <c r="C11">
        <f>VLOOKUP($A11,'Case-2'!$A$1:$AN$21,39,FALSE)</f>
        <v>9.3966114492951017E-2</v>
      </c>
      <c r="D11">
        <f>VLOOKUP($A11,'Case-3'!$A$1:$AN$21,39,FALSE)</f>
        <v>0.1437233192855579</v>
      </c>
      <c r="E11">
        <f>VLOOKUP($A11,'Case-4'!$A$1:$AN$21,39,FALSE)</f>
        <v>0.20817425999785269</v>
      </c>
      <c r="F11">
        <f>VLOOKUP($A11,'Case-5'!$A$1:$AN$21,39,FALSE)</f>
        <v>0.28980188445835048</v>
      </c>
      <c r="G11">
        <f>VLOOKUP($A11,'Case-6'!$A$1:$AN$21,39,FALSE)</f>
        <v>0.38126084343798389</v>
      </c>
    </row>
    <row r="12" spans="1:7">
      <c r="A12" s="2">
        <v>66</v>
      </c>
      <c r="B12">
        <f>VLOOKUP($A12,'Case-1'!$A$1:$AN$21,39,FALSE)</f>
        <v>7.7019431740529415E-2</v>
      </c>
      <c r="C12">
        <f>VLOOKUP($A12,'Case-2'!$A$1:$AN$21,39,FALSE)</f>
        <v>9.1818987399624838E-2</v>
      </c>
      <c r="D12">
        <f>VLOOKUP($A12,'Case-3'!$A$1:$AN$21,39,FALSE)</f>
        <v>0.14597180893798839</v>
      </c>
      <c r="E12">
        <f>VLOOKUP($A12,'Case-4'!$A$1:$AN$21,39,FALSE)</f>
        <v>0.2066678457086952</v>
      </c>
      <c r="F12">
        <f>VLOOKUP($A12,'Case-5'!$A$1:$AN$21,39,FALSE)</f>
        <v>0.28688423201659091</v>
      </c>
      <c r="G12">
        <f>VLOOKUP($A12,'Case-6'!$A$1:$AN$21,39,FALSE)</f>
        <v>0.39147948386618958</v>
      </c>
    </row>
    <row r="13" spans="1:7">
      <c r="A13" s="3">
        <v>72</v>
      </c>
      <c r="B13">
        <f>VLOOKUP($A13,'Case-1'!$A$1:$AN$21,39,FALSE)</f>
        <v>7.6733661519001115E-2</v>
      </c>
      <c r="C13">
        <f>VLOOKUP($A13,'Case-2'!$A$1:$AN$21,39,FALSE)</f>
        <v>8.9707184870684201E-2</v>
      </c>
      <c r="D13">
        <f>VLOOKUP($A13,'Case-3'!$A$1:$AN$21,39,FALSE)</f>
        <v>0.14469762410261691</v>
      </c>
      <c r="E13">
        <f>VLOOKUP($A13,'Case-4'!$A$1:$AN$21,39,FALSE)</f>
        <v>0.20951126814634111</v>
      </c>
      <c r="F13">
        <f>VLOOKUP($A13,'Case-5'!$A$1:$AN$21,39,FALSE)</f>
        <v>0.28912705738307348</v>
      </c>
      <c r="G13">
        <f>VLOOKUP($A13,'Case-6'!$A$1:$AN$21,39,FALSE)</f>
        <v>0.39012065340708257</v>
      </c>
    </row>
    <row r="14" spans="1:7">
      <c r="A14" s="2">
        <v>78</v>
      </c>
      <c r="B14">
        <f>VLOOKUP($A14,'Case-1'!$A$1:$AN$21,39,FALSE)</f>
        <v>7.6199857288569942E-2</v>
      </c>
      <c r="C14">
        <f>VLOOKUP($A14,'Case-2'!$A$1:$AN$21,39,FALSE)</f>
        <v>8.8562949737891611E-2</v>
      </c>
      <c r="D14">
        <f>VLOOKUP($A14,'Case-3'!$A$1:$AN$21,39,FALSE)</f>
        <v>0.147174499650331</v>
      </c>
      <c r="E14">
        <f>VLOOKUP($A14,'Case-4'!$A$1:$AN$21,39,FALSE)</f>
        <v>0.2093723391766788</v>
      </c>
      <c r="F14">
        <f>VLOOKUP($A14,'Case-5'!$A$1:$AN$21,39,FALSE)</f>
        <v>0.2816982675946243</v>
      </c>
      <c r="G14">
        <f>VLOOKUP($A14,'Case-6'!$A$1:$AN$21,39,FALSE)</f>
        <v>0.37848988695897878</v>
      </c>
    </row>
    <row r="15" spans="1:7">
      <c r="A15" s="3">
        <v>84</v>
      </c>
      <c r="B15">
        <f>VLOOKUP($A15,'Case-1'!$A$1:$AN$21,39,FALSE)</f>
        <v>7.1169268328775695E-2</v>
      </c>
      <c r="C15">
        <f>VLOOKUP($A15,'Case-2'!$A$1:$AN$21,39,FALSE)</f>
        <v>9.4173872418745475E-2</v>
      </c>
      <c r="D15">
        <f>VLOOKUP($A15,'Case-3'!$A$1:$AN$21,39,FALSE)</f>
        <v>0.13741110588121591</v>
      </c>
      <c r="E15">
        <f>VLOOKUP($A15,'Case-4'!$A$1:$AN$21,39,FALSE)</f>
        <v>0.20573304684437471</v>
      </c>
      <c r="F15">
        <f>VLOOKUP($A15,'Case-5'!$A$1:$AN$21,39,FALSE)</f>
        <v>0.28599983813594199</v>
      </c>
      <c r="G15">
        <f>VLOOKUP($A15,'Case-6'!$A$1:$AN$21,39,FALSE)</f>
        <v>0.3942150561260645</v>
      </c>
    </row>
    <row r="16" spans="1:7">
      <c r="A16" s="2">
        <v>90</v>
      </c>
      <c r="B16">
        <f>VLOOKUP($A16,'Case-1'!$A$1:$AN$21,39,FALSE)</f>
        <v>7.3245588428565031E-2</v>
      </c>
      <c r="C16">
        <f>VLOOKUP($A16,'Case-2'!$A$1:$AN$21,39,FALSE)</f>
        <v>8.5934295257397417E-2</v>
      </c>
      <c r="D16">
        <f>VLOOKUP($A16,'Case-3'!$A$1:$AN$21,39,FALSE)</f>
        <v>0.14084904938775389</v>
      </c>
      <c r="E16">
        <f>VLOOKUP($A16,'Case-4'!$A$1:$AN$21,39,FALSE)</f>
        <v>0.20085552206398169</v>
      </c>
      <c r="F16">
        <f>VLOOKUP($A16,'Case-5'!$A$1:$AN$21,39,FALSE)</f>
        <v>0.28655970485952598</v>
      </c>
      <c r="G16">
        <f>VLOOKUP($A16,'Case-6'!$A$1:$AN$21,39,FALSE)</f>
        <v>0.3803126586565867</v>
      </c>
    </row>
    <row r="17" spans="1:7">
      <c r="A17" s="3">
        <v>96</v>
      </c>
      <c r="B17">
        <f>VLOOKUP($A17,'Case-1'!$A$1:$AN$21,39,FALSE)</f>
        <v>7.623317625729592E-2</v>
      </c>
      <c r="C17">
        <f>VLOOKUP($A17,'Case-2'!$A$1:$AN$21,39,FALSE)</f>
        <v>8.6697467142422255E-2</v>
      </c>
      <c r="D17">
        <f>VLOOKUP($A17,'Case-3'!$A$1:$AN$21,39,FALSE)</f>
        <v>0.14063829378652909</v>
      </c>
      <c r="E17">
        <f>VLOOKUP($A17,'Case-4'!$A$1:$AN$21,39,FALSE)</f>
        <v>0.21284330287344261</v>
      </c>
      <c r="F17">
        <f>VLOOKUP($A17,'Case-5'!$A$1:$AN$21,39,FALSE)</f>
        <v>0.29510431244394392</v>
      </c>
      <c r="G17">
        <f>VLOOKUP($A17,'Case-6'!$A$1:$AN$21,39,FALSE)</f>
        <v>0.38809785108704747</v>
      </c>
    </row>
    <row r="18" spans="1:7">
      <c r="A18" s="2">
        <v>102</v>
      </c>
      <c r="B18">
        <f>VLOOKUP($A18,'Case-1'!$A$1:$AN$21,39,FALSE)</f>
        <v>7.6119067817396247E-2</v>
      </c>
      <c r="C18">
        <f>VLOOKUP($A18,'Case-2'!$A$1:$AN$21,39,FALSE)</f>
        <v>8.6791285895179357E-2</v>
      </c>
      <c r="D18">
        <f>VLOOKUP($A18,'Case-3'!$A$1:$AN$21,39,FALSE)</f>
        <v>0.14798103098593809</v>
      </c>
      <c r="E18">
        <f>VLOOKUP($A18,'Case-4'!$A$1:$AN$21,39,FALSE)</f>
        <v>0.1949940244288898</v>
      </c>
      <c r="F18">
        <f>VLOOKUP($A18,'Case-5'!$A$1:$AN$21,39,FALSE)</f>
        <v>0.28276574665568238</v>
      </c>
      <c r="G18">
        <f>VLOOKUP($A18,'Case-6'!$A$1:$AN$21,39,FALSE)</f>
        <v>0.38856184709354658</v>
      </c>
    </row>
    <row r="19" spans="1:7">
      <c r="A19" s="3">
        <v>108</v>
      </c>
      <c r="B19">
        <f>VLOOKUP($A19,'Case-1'!$A$1:$AN$21,39,FALSE)</f>
        <v>7.7544185707851182E-2</v>
      </c>
      <c r="C19">
        <f>VLOOKUP($A19,'Case-2'!$A$1:$AN$21,39,FALSE)</f>
        <v>9.4716663200240567E-2</v>
      </c>
      <c r="D19">
        <f>VLOOKUP($A19,'Case-3'!$A$1:$AN$21,39,FALSE)</f>
        <v>0.13736790754253991</v>
      </c>
      <c r="E19">
        <f>VLOOKUP($A19,'Case-4'!$A$1:$AN$21,39,FALSE)</f>
        <v>0.2062476313084077</v>
      </c>
      <c r="F19">
        <f>VLOOKUP($A19,'Case-5'!$A$1:$AN$21,39,FALSE)</f>
        <v>0.30055804940738368</v>
      </c>
      <c r="G19">
        <f>VLOOKUP($A19,'Case-6'!$A$1:$AN$21,39,FALSE)</f>
        <v>0.3775326698682499</v>
      </c>
    </row>
    <row r="20" spans="1:7">
      <c r="A20" s="2">
        <v>114</v>
      </c>
      <c r="B20">
        <f>VLOOKUP($A20,'Case-1'!$A$1:$AN$21,39,FALSE)</f>
        <v>7.4711130193715961E-2</v>
      </c>
      <c r="C20">
        <f>VLOOKUP($A20,'Case-2'!$A$1:$AN$21,39,FALSE)</f>
        <v>8.8729798471382196E-2</v>
      </c>
      <c r="D20">
        <f>VLOOKUP($A20,'Case-3'!$A$1:$AN$21,39,FALSE)</f>
        <v>0.14759081932773779</v>
      </c>
      <c r="E20">
        <f>VLOOKUP($A20,'Case-4'!$A$1:$AN$21,39,FALSE)</f>
        <v>0.20045321185593201</v>
      </c>
      <c r="F20">
        <f>VLOOKUP($A20,'Case-5'!$A$1:$AN$21,39,FALSE)</f>
        <v>0.27762727945926108</v>
      </c>
      <c r="G20">
        <f>VLOOKUP($A20,'Case-6'!$A$1:$AN$21,39,FALSE)</f>
        <v>0.37766319670433668</v>
      </c>
    </row>
    <row r="21" spans="1:7">
      <c r="A21" s="3">
        <v>120</v>
      </c>
      <c r="B21">
        <f>VLOOKUP($A21,'Case-1'!$A$1:$AN$21,39,FALSE)</f>
        <v>7.5171978148769109E-2</v>
      </c>
      <c r="C21">
        <f>VLOOKUP($A21,'Case-2'!$A$1:$AN$21,39,FALSE)</f>
        <v>9.740996153881977E-2</v>
      </c>
      <c r="D21">
        <f>VLOOKUP($A21,'Case-3'!$A$1:$AN$21,39,FALSE)</f>
        <v>0.13630848910862389</v>
      </c>
      <c r="E21">
        <f>VLOOKUP($A21,'Case-4'!$A$1:$AN$21,39,FALSE)</f>
        <v>0.20709782941954291</v>
      </c>
      <c r="F21">
        <f>VLOOKUP($A21,'Case-5'!$A$1:$AN$21,39,FALSE)</f>
        <v>0.29213838926619828</v>
      </c>
      <c r="G21">
        <f>VLOOKUP($A21,'Case-6'!$A$1:$AN$21,39,FALSE)</f>
        <v>0.37890684476558678</v>
      </c>
    </row>
  </sheetData>
  <phoneticPr fontId="2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2ECC-894D-4798-A7F9-BEE64BF77A3D}">
  <dimension ref="A1:G21"/>
  <sheetViews>
    <sheetView workbookViewId="0">
      <selection activeCell="B1" sqref="B1:G1"/>
    </sheetView>
  </sheetViews>
  <sheetFormatPr defaultRowHeight="14.1"/>
  <cols>
    <col min="1" max="1" width="3.8984375" bestFit="1" customWidth="1"/>
    <col min="2" max="7" width="12" bestFit="1" customWidth="1"/>
  </cols>
  <sheetData>
    <row r="1" spans="1:7">
      <c r="A1" s="1" t="s">
        <v>40</v>
      </c>
      <c r="B1" t="s">
        <v>49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2">
        <v>6</v>
      </c>
      <c r="B2">
        <f>VLOOKUP($A2,'Case-1'!$A$1:$AN$21,40,FALSE)</f>
        <v>2.3589774924118678E-2</v>
      </c>
      <c r="C2">
        <f>VLOOKUP($A2,'Case-2'!$A$1:$AN$21,40,FALSE)</f>
        <v>2.3476036939615759E-2</v>
      </c>
      <c r="D2">
        <f>VLOOKUP($A2,'Case-3'!$A$1:$AN$21,40,FALSE)</f>
        <v>0.16310519271560431</v>
      </c>
      <c r="E2">
        <f>VLOOKUP($A2,'Case-4'!$A$1:$AN$21,40,FALSE)</f>
        <v>3.7935184325420278E-2</v>
      </c>
      <c r="F2">
        <f>VLOOKUP($A2,'Case-5'!$A$1:$AN$21,40,FALSE)</f>
        <v>0.1260255014873157</v>
      </c>
      <c r="G2">
        <f>VLOOKUP($A2,'Case-6'!$A$1:$AN$21,40,FALSE)</f>
        <v>0</v>
      </c>
    </row>
    <row r="3" spans="1:7">
      <c r="A3" s="3">
        <v>12</v>
      </c>
      <c r="B3">
        <f>VLOOKUP($A3,'Case-1'!$A$1:$AN$21,40,FALSE)</f>
        <v>3.7470499258983762E-2</v>
      </c>
      <c r="C3">
        <f>VLOOKUP($A3,'Case-2'!$A$1:$AN$21,40,FALSE)</f>
        <v>2.7683505064323891E-2</v>
      </c>
      <c r="D3">
        <f>VLOOKUP($A3,'Case-3'!$A$1:$AN$21,40,FALSE)</f>
        <v>2.507853335038714E-2</v>
      </c>
      <c r="E3">
        <f>VLOOKUP($A3,'Case-4'!$A$1:$AN$21,40,FALSE)</f>
        <v>4.4770336647098737E-2</v>
      </c>
      <c r="F3">
        <f>VLOOKUP($A3,'Case-5'!$A$1:$AN$21,40,FALSE)</f>
        <v>3.6905063161612607E-2</v>
      </c>
      <c r="G3">
        <f>VLOOKUP($A3,'Case-6'!$A$1:$AN$21,40,FALSE)</f>
        <v>0</v>
      </c>
    </row>
    <row r="4" spans="1:7">
      <c r="A4" s="2">
        <v>18</v>
      </c>
      <c r="B4">
        <f>VLOOKUP($A4,'Case-1'!$A$1:$AN$21,40,FALSE)</f>
        <v>3.1626559449287543E-2</v>
      </c>
      <c r="C4">
        <f>VLOOKUP($A4,'Case-2'!$A$1:$AN$21,40,FALSE)</f>
        <v>3.7708464887763651E-2</v>
      </c>
      <c r="D4">
        <f>VLOOKUP($A4,'Case-3'!$A$1:$AN$21,40,FALSE)</f>
        <v>4.5185921964655013E-2</v>
      </c>
      <c r="E4">
        <f>VLOOKUP($A4,'Case-4'!$A$1:$AN$21,40,FALSE)</f>
        <v>3.6600903262382169E-2</v>
      </c>
      <c r="F4">
        <f>VLOOKUP($A4,'Case-5'!$A$1:$AN$21,40,FALSE)</f>
        <v>2.7488381791855501E-2</v>
      </c>
      <c r="G4">
        <f>VLOOKUP($A4,'Case-6'!$A$1:$AN$21,40,FALSE)</f>
        <v>5.7661269016658932E-2</v>
      </c>
    </row>
    <row r="5" spans="1:7">
      <c r="A5" s="3">
        <v>24</v>
      </c>
      <c r="B5">
        <f>VLOOKUP($A5,'Case-1'!$A$1:$AN$21,40,FALSE)</f>
        <v>3.2497208066039777E-2</v>
      </c>
      <c r="C5">
        <f>VLOOKUP($A5,'Case-2'!$A$1:$AN$21,40,FALSE)</f>
        <v>3.1526891960326799E-2</v>
      </c>
      <c r="D5">
        <f>VLOOKUP($A5,'Case-3'!$A$1:$AN$21,40,FALSE)</f>
        <v>3.3503368125400418E-2</v>
      </c>
      <c r="E5">
        <f>VLOOKUP($A5,'Case-4'!$A$1:$AN$21,40,FALSE)</f>
        <v>4.2236413724364971E-2</v>
      </c>
      <c r="F5">
        <f>VLOOKUP($A5,'Case-5'!$A$1:$AN$21,40,FALSE)</f>
        <v>4.0275199887697261E-2</v>
      </c>
      <c r="G5">
        <f>VLOOKUP($A5,'Case-6'!$A$1:$AN$21,40,FALSE)</f>
        <v>5.1129474402155588E-2</v>
      </c>
    </row>
    <row r="6" spans="1:7">
      <c r="A6" s="2">
        <v>30</v>
      </c>
      <c r="B6">
        <f>VLOOKUP($A6,'Case-1'!$A$1:$AN$21,40,FALSE)</f>
        <v>3.0676087158391371E-2</v>
      </c>
      <c r="C6">
        <f>VLOOKUP($A6,'Case-2'!$A$1:$AN$21,40,FALSE)</f>
        <v>3.288976017195077E-2</v>
      </c>
      <c r="D6">
        <f>VLOOKUP($A6,'Case-3'!$A$1:$AN$21,40,FALSE)</f>
        <v>3.1937546520868207E-2</v>
      </c>
      <c r="E6">
        <f>VLOOKUP($A6,'Case-4'!$A$1:$AN$21,40,FALSE)</f>
        <v>3.9052918279415413E-2</v>
      </c>
      <c r="F6">
        <f>VLOOKUP($A6,'Case-5'!$A$1:$AN$21,40,FALSE)</f>
        <v>4.2749187224769322E-2</v>
      </c>
      <c r="G6">
        <f>VLOOKUP($A6,'Case-6'!$A$1:$AN$21,40,FALSE)</f>
        <v>5.3290711337306118E-2</v>
      </c>
    </row>
    <row r="7" spans="1:7">
      <c r="A7" s="3">
        <v>36</v>
      </c>
      <c r="B7">
        <f>VLOOKUP($A7,'Case-1'!$A$1:$AN$21,40,FALSE)</f>
        <v>3.1818001630622553E-2</v>
      </c>
      <c r="C7">
        <f>VLOOKUP($A7,'Case-2'!$A$1:$AN$21,40,FALSE)</f>
        <v>3.5226592891024137E-2</v>
      </c>
      <c r="D7">
        <f>VLOOKUP($A7,'Case-3'!$A$1:$AN$21,40,FALSE)</f>
        <v>3.3863949858553309E-2</v>
      </c>
      <c r="E7">
        <f>VLOOKUP($A7,'Case-4'!$A$1:$AN$21,40,FALSE)</f>
        <v>3.4778183060895113E-2</v>
      </c>
      <c r="F7">
        <f>VLOOKUP($A7,'Case-5'!$A$1:$AN$21,40,FALSE)</f>
        <v>3.9426574442552632E-2</v>
      </c>
      <c r="G7">
        <f>VLOOKUP($A7,'Case-6'!$A$1:$AN$21,40,FALSE)</f>
        <v>4.7332767809032457E-2</v>
      </c>
    </row>
    <row r="8" spans="1:7">
      <c r="A8" s="2">
        <v>42</v>
      </c>
      <c r="B8">
        <f>VLOOKUP($A8,'Case-1'!$A$1:$AN$21,40,FALSE)</f>
        <v>3.3959038105843123E-2</v>
      </c>
      <c r="C8">
        <f>VLOOKUP($A8,'Case-2'!$A$1:$AN$21,40,FALSE)</f>
        <v>2.8966316734484941E-2</v>
      </c>
      <c r="D8">
        <f>VLOOKUP($A8,'Case-3'!$A$1:$AN$21,40,FALSE)</f>
        <v>3.656201267259019E-2</v>
      </c>
      <c r="E8">
        <f>VLOOKUP($A8,'Case-4'!$A$1:$AN$21,40,FALSE)</f>
        <v>3.8703400202919687E-2</v>
      </c>
      <c r="F8">
        <f>VLOOKUP($A8,'Case-5'!$A$1:$AN$21,40,FALSE)</f>
        <v>4.0908190190060569E-2</v>
      </c>
      <c r="G8">
        <f>VLOOKUP($A8,'Case-6'!$A$1:$AN$21,40,FALSE)</f>
        <v>5.543530762362598E-2</v>
      </c>
    </row>
    <row r="9" spans="1:7">
      <c r="A9" s="3">
        <v>48</v>
      </c>
      <c r="B9">
        <f>VLOOKUP($A9,'Case-1'!$A$1:$AN$21,40,FALSE)</f>
        <v>2.8031804731608111E-2</v>
      </c>
      <c r="C9">
        <f>VLOOKUP($A9,'Case-2'!$A$1:$AN$21,40,FALSE)</f>
        <v>3.4475625314284587E-2</v>
      </c>
      <c r="D9">
        <f>VLOOKUP($A9,'Case-3'!$A$1:$AN$21,40,FALSE)</f>
        <v>3.0427747478088879E-2</v>
      </c>
      <c r="E9">
        <f>VLOOKUP($A9,'Case-4'!$A$1:$AN$21,40,FALSE)</f>
        <v>3.397020472955898E-2</v>
      </c>
      <c r="F9">
        <f>VLOOKUP($A9,'Case-5'!$A$1:$AN$21,40,FALSE)</f>
        <v>3.9597261099240798E-2</v>
      </c>
      <c r="G9">
        <f>VLOOKUP($A9,'Case-6'!$A$1:$AN$21,40,FALSE)</f>
        <v>4.3747044414705651E-2</v>
      </c>
    </row>
    <row r="10" spans="1:7">
      <c r="A10" s="2">
        <v>54</v>
      </c>
      <c r="B10">
        <f>VLOOKUP($A10,'Case-1'!$A$1:$AN$21,40,FALSE)</f>
        <v>2.890460008213995E-2</v>
      </c>
      <c r="C10">
        <f>VLOOKUP($A10,'Case-2'!$A$1:$AN$21,40,FALSE)</f>
        <v>3.0720959683797129E-2</v>
      </c>
      <c r="D10">
        <f>VLOOKUP($A10,'Case-3'!$A$1:$AN$21,40,FALSE)</f>
        <v>3.1247877936935491E-2</v>
      </c>
      <c r="E10">
        <f>VLOOKUP($A10,'Case-4'!$A$1:$AN$21,40,FALSE)</f>
        <v>3.3564475586154677E-2</v>
      </c>
      <c r="F10">
        <f>VLOOKUP($A10,'Case-5'!$A$1:$AN$21,40,FALSE)</f>
        <v>4.1537692688920408E-2</v>
      </c>
      <c r="G10">
        <f>VLOOKUP($A10,'Case-6'!$A$1:$AN$21,40,FALSE)</f>
        <v>4.5516904616695358E-2</v>
      </c>
    </row>
    <row r="11" spans="1:7">
      <c r="A11" s="3">
        <v>60</v>
      </c>
      <c r="B11">
        <f>VLOOKUP($A11,'Case-1'!$A$1:$AN$21,40,FALSE)</f>
        <v>2.5189624021870291E-2</v>
      </c>
      <c r="C11">
        <f>VLOOKUP($A11,'Case-2'!$A$1:$AN$21,40,FALSE)</f>
        <v>3.5779433401243198E-2</v>
      </c>
      <c r="D11">
        <f>VLOOKUP($A11,'Case-3'!$A$1:$AN$21,40,FALSE)</f>
        <v>3.4899156747864729E-2</v>
      </c>
      <c r="E11">
        <f>VLOOKUP($A11,'Case-4'!$A$1:$AN$21,40,FALSE)</f>
        <v>3.8767975987164693E-2</v>
      </c>
      <c r="F11">
        <f>VLOOKUP($A11,'Case-5'!$A$1:$AN$21,40,FALSE)</f>
        <v>3.9639986961398498E-2</v>
      </c>
      <c r="G11">
        <f>VLOOKUP($A11,'Case-6'!$A$1:$AN$21,40,FALSE)</f>
        <v>4.0977220136615457E-2</v>
      </c>
    </row>
    <row r="12" spans="1:7">
      <c r="A12" s="2">
        <v>66</v>
      </c>
      <c r="B12">
        <f>VLOOKUP($A12,'Case-1'!$A$1:$AN$21,40,FALSE)</f>
        <v>3.183558915727152E-2</v>
      </c>
      <c r="C12">
        <f>VLOOKUP($A12,'Case-2'!$A$1:$AN$21,40,FALSE)</f>
        <v>3.3298968813801247E-2</v>
      </c>
      <c r="D12">
        <f>VLOOKUP($A12,'Case-3'!$A$1:$AN$21,40,FALSE)</f>
        <v>3.4353403240262557E-2</v>
      </c>
      <c r="E12">
        <f>VLOOKUP($A12,'Case-4'!$A$1:$AN$21,40,FALSE)</f>
        <v>3.1641893490262127E-2</v>
      </c>
      <c r="F12">
        <f>VLOOKUP($A12,'Case-5'!$A$1:$AN$21,40,FALSE)</f>
        <v>3.6346516321250508E-2</v>
      </c>
      <c r="G12">
        <f>VLOOKUP($A12,'Case-6'!$A$1:$AN$21,40,FALSE)</f>
        <v>4.1090750932872767E-2</v>
      </c>
    </row>
    <row r="13" spans="1:7">
      <c r="A13" s="3">
        <v>72</v>
      </c>
      <c r="B13">
        <f>VLOOKUP($A13,'Case-1'!$A$1:$AN$21,40,FALSE)</f>
        <v>2.9080269473304641E-2</v>
      </c>
      <c r="C13">
        <f>VLOOKUP($A13,'Case-2'!$A$1:$AN$21,40,FALSE)</f>
        <v>3.7203925512430187E-2</v>
      </c>
      <c r="D13">
        <f>VLOOKUP($A13,'Case-3'!$A$1:$AN$21,40,FALSE)</f>
        <v>3.4935529715434441E-2</v>
      </c>
      <c r="E13">
        <f>VLOOKUP($A13,'Case-4'!$A$1:$AN$21,40,FALSE)</f>
        <v>3.1997581865647953E-2</v>
      </c>
      <c r="F13">
        <f>VLOOKUP($A13,'Case-5'!$A$1:$AN$21,40,FALSE)</f>
        <v>4.3570015237179058E-2</v>
      </c>
      <c r="G13">
        <f>VLOOKUP($A13,'Case-6'!$A$1:$AN$21,40,FALSE)</f>
        <v>3.0840897572954929E-2</v>
      </c>
    </row>
    <row r="14" spans="1:7">
      <c r="A14" s="2">
        <v>78</v>
      </c>
      <c r="B14">
        <f>VLOOKUP($A14,'Case-1'!$A$1:$AN$21,40,FALSE)</f>
        <v>2.6715556024719488E-2</v>
      </c>
      <c r="C14">
        <f>VLOOKUP($A14,'Case-2'!$A$1:$AN$21,40,FALSE)</f>
        <v>2.9177507925931379E-2</v>
      </c>
      <c r="D14">
        <f>VLOOKUP($A14,'Case-3'!$A$1:$AN$21,40,FALSE)</f>
        <v>3.297444062412596E-2</v>
      </c>
      <c r="E14">
        <f>VLOOKUP($A14,'Case-4'!$A$1:$AN$21,40,FALSE)</f>
        <v>3.5273354231768597E-2</v>
      </c>
      <c r="F14">
        <f>VLOOKUP($A14,'Case-5'!$A$1:$AN$21,40,FALSE)</f>
        <v>2.8737329557151459E-2</v>
      </c>
      <c r="G14">
        <f>VLOOKUP($A14,'Case-6'!$A$1:$AN$21,40,FALSE)</f>
        <v>3.0716692400183321E-2</v>
      </c>
    </row>
    <row r="15" spans="1:7">
      <c r="A15" s="3">
        <v>84</v>
      </c>
      <c r="B15">
        <f>VLOOKUP($A15,'Case-1'!$A$1:$AN$21,40,FALSE)</f>
        <v>2.4813681646320949E-2</v>
      </c>
      <c r="C15">
        <f>VLOOKUP($A15,'Case-2'!$A$1:$AN$21,40,FALSE)</f>
        <v>3.6497220319889022E-2</v>
      </c>
      <c r="D15">
        <f>VLOOKUP($A15,'Case-3'!$A$1:$AN$21,40,FALSE)</f>
        <v>2.7175009098431999E-2</v>
      </c>
      <c r="E15">
        <f>VLOOKUP($A15,'Case-4'!$A$1:$AN$21,40,FALSE)</f>
        <v>3.3768582181926583E-2</v>
      </c>
      <c r="F15">
        <f>VLOOKUP($A15,'Case-5'!$A$1:$AN$21,40,FALSE)</f>
        <v>2.520629539891742E-2</v>
      </c>
      <c r="G15">
        <f>VLOOKUP($A15,'Case-6'!$A$1:$AN$21,40,FALSE)</f>
        <v>4.4541678078027933E-2</v>
      </c>
    </row>
    <row r="16" spans="1:7">
      <c r="A16" s="2">
        <v>90</v>
      </c>
      <c r="B16">
        <f>VLOOKUP($A16,'Case-1'!$A$1:$AN$21,40,FALSE)</f>
        <v>2.803644800560395E-2</v>
      </c>
      <c r="C16">
        <f>VLOOKUP($A16,'Case-2'!$A$1:$AN$21,40,FALSE)</f>
        <v>3.5237260689252099E-2</v>
      </c>
      <c r="D16">
        <f>VLOOKUP($A16,'Case-3'!$A$1:$AN$21,40,FALSE)</f>
        <v>2.9380223402496731E-2</v>
      </c>
      <c r="E16">
        <f>VLOOKUP($A16,'Case-4'!$A$1:$AN$21,40,FALSE)</f>
        <v>3.1324355508729501E-2</v>
      </c>
      <c r="F16">
        <f>VLOOKUP($A16,'Case-5'!$A$1:$AN$21,40,FALSE)</f>
        <v>3.5965856308513122E-2</v>
      </c>
      <c r="G16">
        <f>VLOOKUP($A16,'Case-6'!$A$1:$AN$21,40,FALSE)</f>
        <v>4.049928193338629E-2</v>
      </c>
    </row>
    <row r="17" spans="1:7">
      <c r="A17" s="3">
        <v>96</v>
      </c>
      <c r="B17">
        <f>VLOOKUP($A17,'Case-1'!$A$1:$AN$21,40,FALSE)</f>
        <v>2.8393821047519158E-2</v>
      </c>
      <c r="C17">
        <f>VLOOKUP($A17,'Case-2'!$A$1:$AN$21,40,FALSE)</f>
        <v>2.822437993119737E-2</v>
      </c>
      <c r="D17">
        <f>VLOOKUP($A17,'Case-3'!$A$1:$AN$21,40,FALSE)</f>
        <v>3.4445434551580181E-2</v>
      </c>
      <c r="E17">
        <f>VLOOKUP($A17,'Case-4'!$A$1:$AN$21,40,FALSE)</f>
        <v>3.1516146670958943E-2</v>
      </c>
      <c r="F17">
        <f>VLOOKUP($A17,'Case-5'!$A$1:$AN$21,40,FALSE)</f>
        <v>2.8931717510042431E-2</v>
      </c>
      <c r="G17">
        <f>VLOOKUP($A17,'Case-6'!$A$1:$AN$21,40,FALSE)</f>
        <v>3.9975367616663697E-2</v>
      </c>
    </row>
    <row r="18" spans="1:7">
      <c r="A18" s="2">
        <v>102</v>
      </c>
      <c r="B18">
        <f>VLOOKUP($A18,'Case-1'!$A$1:$AN$21,40,FALSE)</f>
        <v>2.9114738940958718E-2</v>
      </c>
      <c r="C18">
        <f>VLOOKUP($A18,'Case-2'!$A$1:$AN$21,40,FALSE)</f>
        <v>2.931339278823852E-2</v>
      </c>
      <c r="D18">
        <f>VLOOKUP($A18,'Case-3'!$A$1:$AN$21,40,FALSE)</f>
        <v>3.185194283110053E-2</v>
      </c>
      <c r="E18">
        <f>VLOOKUP($A18,'Case-4'!$A$1:$AN$21,40,FALSE)</f>
        <v>2.9520176536674152E-2</v>
      </c>
      <c r="F18">
        <f>VLOOKUP($A18,'Case-5'!$A$1:$AN$21,40,FALSE)</f>
        <v>3.3060335828845891E-2</v>
      </c>
      <c r="G18">
        <f>VLOOKUP($A18,'Case-6'!$A$1:$AN$21,40,FALSE)</f>
        <v>1.7997447232125749E-2</v>
      </c>
    </row>
    <row r="19" spans="1:7">
      <c r="A19" s="3">
        <v>108</v>
      </c>
      <c r="B19">
        <f>VLOOKUP($A19,'Case-1'!$A$1:$AN$21,40,FALSE)</f>
        <v>3.2611263689729157E-2</v>
      </c>
      <c r="C19">
        <f>VLOOKUP($A19,'Case-2'!$A$1:$AN$21,40,FALSE)</f>
        <v>3.3209686976114081E-2</v>
      </c>
      <c r="D19">
        <f>VLOOKUP($A19,'Case-3'!$A$1:$AN$21,40,FALSE)</f>
        <v>3.0338984247326721E-2</v>
      </c>
      <c r="E19">
        <f>VLOOKUP($A19,'Case-4'!$A$1:$AN$21,40,FALSE)</f>
        <v>3.1714199965303683E-2</v>
      </c>
      <c r="F19">
        <f>VLOOKUP($A19,'Case-5'!$A$1:$AN$21,40,FALSE)</f>
        <v>2.8557905060963638E-2</v>
      </c>
      <c r="G19">
        <f>VLOOKUP($A19,'Case-6'!$A$1:$AN$21,40,FALSE)</f>
        <v>3.9176595200158613E-2</v>
      </c>
    </row>
    <row r="20" spans="1:7">
      <c r="A20" s="2">
        <v>114</v>
      </c>
      <c r="B20">
        <f>VLOOKUP($A20,'Case-1'!$A$1:$AN$21,40,FALSE)</f>
        <v>2.9456021993396149E-2</v>
      </c>
      <c r="C20">
        <f>VLOOKUP($A20,'Case-2'!$A$1:$AN$21,40,FALSE)</f>
        <v>3.1693905913088093E-2</v>
      </c>
      <c r="D20">
        <f>VLOOKUP($A20,'Case-3'!$A$1:$AN$21,40,FALSE)</f>
        <v>2.517654769893652E-2</v>
      </c>
      <c r="E20">
        <f>VLOOKUP($A20,'Case-4'!$A$1:$AN$21,40,FALSE)</f>
        <v>3.685746330572371E-2</v>
      </c>
      <c r="F20">
        <f>VLOOKUP($A20,'Case-5'!$A$1:$AN$21,40,FALSE)</f>
        <v>2.9330005521891689E-2</v>
      </c>
      <c r="G20">
        <f>VLOOKUP($A20,'Case-6'!$A$1:$AN$21,40,FALSE)</f>
        <v>2.0910203383060821E-2</v>
      </c>
    </row>
    <row r="21" spans="1:7">
      <c r="A21" s="3">
        <v>120</v>
      </c>
      <c r="B21">
        <f>VLOOKUP($A21,'Case-1'!$A$1:$AN$21,40,FALSE)</f>
        <v>2.691604031734637E-2</v>
      </c>
      <c r="C21">
        <f>VLOOKUP($A21,'Case-2'!$A$1:$AN$21,40,FALSE)</f>
        <v>3.3659473005268489E-2</v>
      </c>
      <c r="D21">
        <f>VLOOKUP($A21,'Case-3'!$A$1:$AN$21,40,FALSE)</f>
        <v>2.8581677500932288E-2</v>
      </c>
      <c r="E21">
        <f>VLOOKUP($A21,'Case-4'!$A$1:$AN$21,40,FALSE)</f>
        <v>3.8029666768643958E-2</v>
      </c>
      <c r="F21">
        <f>VLOOKUP($A21,'Case-5'!$A$1:$AN$21,40,FALSE)</f>
        <v>3.2827626113667699E-2</v>
      </c>
      <c r="G21">
        <f>VLOOKUP($A21,'Case-6'!$A$1:$AN$21,40,FALSE)</f>
        <v>2.8616564916029909E-2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BBAD15-8AE3-45B3-A7E1-81FC642C31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Case-1</vt:lpstr>
      <vt:lpstr>Case-2</vt:lpstr>
      <vt:lpstr>Case-3</vt:lpstr>
      <vt:lpstr>Case-4</vt:lpstr>
      <vt:lpstr>Case-5</vt:lpstr>
      <vt:lpstr>Case-6</vt:lpstr>
      <vt:lpstr>MAE_Learn</vt:lpstr>
      <vt:lpstr>RMSE_Learn</vt:lpstr>
      <vt:lpstr>MAPE_Learn</vt:lpstr>
      <vt:lpstr>STD_{MAE_Learn}</vt:lpstr>
      <vt:lpstr>STD_{RMSE_Learn}</vt:lpstr>
      <vt:lpstr>STD_{MAPE_Learn}</vt:lpstr>
      <vt:lpstr>Z_SAT</vt:lpstr>
      <vt:lpstr>STD_{Z_SAT}</vt:lpstr>
      <vt:lpstr>MAE_SAT</vt:lpstr>
      <vt:lpstr>STD_{MAE_SAT}</vt:lpstr>
      <vt:lpstr>F_G</vt:lpstr>
      <vt:lpstr> overline{R^{o}_{s}}</vt:lpstr>
      <vt:lpstr>np.mean(Ratio_Solved_Initial)</vt:lpstr>
      <vt:lpstr>np.mean(Ratio_Solved_Initial_Sa</vt:lpstr>
      <vt:lpstr>np.mean(Ratio_Solved_Red)</vt:lpstr>
      <vt:lpstr>np.mean(Ratio_Solved_Red_Satisf</vt:lpstr>
      <vt:lpstr>np.mean(Ratio_Solved_Tse)</vt:lpstr>
      <vt:lpstr>np.mean(Ratio_Solved_Tse_Satisf</vt:lpstr>
      <vt:lpstr>np.mean(Ratio_Solved_After)</vt:lpstr>
      <vt:lpstr>np.mean(Ratio_Solved_After_Sati</vt:lpstr>
      <vt:lpstr>MAE_Energy</vt:lpstr>
      <vt:lpstr>Z_G</vt:lpstr>
      <vt:lpstr>L_G</vt:lpstr>
      <vt:lpstr>np.mean(Similarity_list_J_Initi</vt:lpstr>
      <vt:lpstr>np.std(Similarity_list_J_Initia</vt:lpstr>
      <vt:lpstr>np.mean(Similarity_list_H_Initi</vt:lpstr>
      <vt:lpstr>np.std(Similarity_list_H_Initia</vt:lpstr>
      <vt:lpstr>np.mean(Similarity_list_J_Red)</vt:lpstr>
      <vt:lpstr>np.std(Similarity_list_J_Red)</vt:lpstr>
      <vt:lpstr>np.mean(Similarity_list_H_Red)</vt:lpstr>
      <vt:lpstr>np.std(Similarity_list_H_Red)</vt:lpstr>
      <vt:lpstr>np.mean(Similarity_list_J_Tse)</vt:lpstr>
      <vt:lpstr>np.std(Similarity_list_J_Tse)</vt:lpstr>
      <vt:lpstr>np.mean(Similarity_list_H_Tse)</vt:lpstr>
      <vt:lpstr>np.std(Similarity_list_H_Tse)</vt:lpstr>
      <vt:lpstr>np.mean(Similarity_list_J_After</vt:lpstr>
      <vt:lpstr>np.std(Similarity_list_J_After)</vt:lpstr>
      <vt:lpstr>np.mean(Similarity_list_H_After</vt:lpstr>
      <vt:lpstr>np.std(Similarity_list_H_After)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曹召钦</dc:creator>
  <cp:lastModifiedBy>Cao Zhaoqin</cp:lastModifiedBy>
  <dcterms:created xsi:type="dcterms:W3CDTF">2015-06-05T18:19:34Z</dcterms:created>
  <dcterms:modified xsi:type="dcterms:W3CDTF">2026-02-18T18:54:53Z</dcterms:modified>
</cp:coreProperties>
</file>